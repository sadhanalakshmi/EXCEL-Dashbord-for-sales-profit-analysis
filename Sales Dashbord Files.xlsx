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excel_class\"/>
    </mc:Choice>
  </mc:AlternateContent>
  <xr:revisionPtr revIDLastSave="0" documentId="8_{76A717F7-EC28-472A-8A2F-621398ED8481}" xr6:coauthVersionLast="47" xr6:coauthVersionMax="47" xr10:uidLastSave="{00000000-0000-0000-0000-000000000000}"/>
  <bookViews>
    <workbookView xWindow="-108" yWindow="-108" windowWidth="23256" windowHeight="12456" xr2:uid="{D95E82CF-238E-46EA-984B-71AB9C1E6772}"/>
  </bookViews>
  <sheets>
    <sheet name="Dashbord" sheetId="2" r:id="rId1"/>
    <sheet name="Dataset" sheetId="6" r:id="rId2"/>
    <sheet name="Report" sheetId="3" r:id="rId3"/>
    <sheet name="Sheet2" sheetId="7" r:id="rId4"/>
  </sheets>
  <definedNames>
    <definedName name="ExternalData_2" localSheetId="1" hidden="1">Dataset!$A$1:$L$1001</definedName>
    <definedName name="Slicer_Ordermonth">#N/A</definedName>
    <definedName name="Slicer_Orderyea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7" l="1"/>
  <c r="F3" i="7"/>
  <c r="I3" i="7"/>
  <c r="G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AEBEF7-E944-4AC1-9280-ABE0D2A03F8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98A22A4E-2149-4891-8AC1-53295A9112E0}"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<sst xmlns="http://schemas.openxmlformats.org/spreadsheetml/2006/main" count="5075" uniqueCount="1503">
  <si>
    <t>OrderID</t>
  </si>
  <si>
    <t>OrderDate</t>
  </si>
  <si>
    <t>CustomerID</t>
  </si>
  <si>
    <t>ProductID</t>
  </si>
  <si>
    <t>Quantity</t>
  </si>
  <si>
    <t>UnitPrice</t>
  </si>
  <si>
    <t>TotalSale</t>
  </si>
  <si>
    <t>Region</t>
  </si>
  <si>
    <t>ORD-5001</t>
  </si>
  <si>
    <t>C2443</t>
  </si>
  <si>
    <t>P1012</t>
  </si>
  <si>
    <t>East</t>
  </si>
  <si>
    <t>ORD-5002</t>
  </si>
  <si>
    <t>C2104</t>
  </si>
  <si>
    <t>P1038</t>
  </si>
  <si>
    <t>West</t>
  </si>
  <si>
    <t>ORD-5003</t>
  </si>
  <si>
    <t>C2328</t>
  </si>
  <si>
    <t>P1025</t>
  </si>
  <si>
    <t>North</t>
  </si>
  <si>
    <t>ORD-5004</t>
  </si>
  <si>
    <t>C2098</t>
  </si>
  <si>
    <t>ORD-5005</t>
  </si>
  <si>
    <t>C2261</t>
  </si>
  <si>
    <t>P1027</t>
  </si>
  <si>
    <t>ORD-5006</t>
  </si>
  <si>
    <t>C2099</t>
  </si>
  <si>
    <t>P1042</t>
  </si>
  <si>
    <t>ORD-5007</t>
  </si>
  <si>
    <t>C2118</t>
  </si>
  <si>
    <t>P1005</t>
  </si>
  <si>
    <t>ORD-5008</t>
  </si>
  <si>
    <t>C2121</t>
  </si>
  <si>
    <t>P1011</t>
  </si>
  <si>
    <t>ORD-5009</t>
  </si>
  <si>
    <t>C2119</t>
  </si>
  <si>
    <t>South</t>
  </si>
  <si>
    <t>ORD-5010</t>
  </si>
  <si>
    <t>C2381</t>
  </si>
  <si>
    <t>P1033</t>
  </si>
  <si>
    <t>ORD-5011</t>
  </si>
  <si>
    <t>C2138</t>
  </si>
  <si>
    <t>P1021</t>
  </si>
  <si>
    <t>ORD-5012</t>
  </si>
  <si>
    <t>C2464</t>
  </si>
  <si>
    <t>P1020</t>
  </si>
  <si>
    <t>ORD-5013</t>
  </si>
  <si>
    <t>C2058</t>
  </si>
  <si>
    <t>P1006</t>
  </si>
  <si>
    <t>ORD-5014</t>
  </si>
  <si>
    <t>C2380</t>
  </si>
  <si>
    <t>P1026</t>
  </si>
  <si>
    <t>ORD-5015</t>
  </si>
  <si>
    <t>C2063</t>
  </si>
  <si>
    <t>P1004</t>
  </si>
  <si>
    <t>ORD-5016</t>
  </si>
  <si>
    <t>C2368</t>
  </si>
  <si>
    <t>P1018</t>
  </si>
  <si>
    <t>ORD-5017</t>
  </si>
  <si>
    <t>C2184</t>
  </si>
  <si>
    <t>P1031</t>
  </si>
  <si>
    <t>ORD-5018</t>
  </si>
  <si>
    <t>C2202</t>
  </si>
  <si>
    <t>ORD-5019</t>
  </si>
  <si>
    <t>C2408</t>
  </si>
  <si>
    <t>ORD-5020</t>
  </si>
  <si>
    <t>C2343</t>
  </si>
  <si>
    <t>P1049</t>
  </si>
  <si>
    <t>ORD-5021</t>
  </si>
  <si>
    <t>C2053</t>
  </si>
  <si>
    <t>ORD-5022</t>
  </si>
  <si>
    <t>C2488</t>
  </si>
  <si>
    <t>P1009</t>
  </si>
  <si>
    <t>ORD-5023</t>
  </si>
  <si>
    <t>C2227</t>
  </si>
  <si>
    <t>P1037</t>
  </si>
  <si>
    <t>ORD-5024</t>
  </si>
  <si>
    <t>C2499</t>
  </si>
  <si>
    <t>ORD-5025</t>
  </si>
  <si>
    <t>C2199</t>
  </si>
  <si>
    <t>P1050</t>
  </si>
  <si>
    <t>ORD-5026</t>
  </si>
  <si>
    <t>C2318</t>
  </si>
  <si>
    <t>P1041</t>
  </si>
  <si>
    <t>ORD-5027</t>
  </si>
  <si>
    <t>C2434</t>
  </si>
  <si>
    <t>ORD-5028</t>
  </si>
  <si>
    <t>C2060</t>
  </si>
  <si>
    <t>P1029</t>
  </si>
  <si>
    <t>ORD-5029</t>
  </si>
  <si>
    <t>C2074</t>
  </si>
  <si>
    <t>ORD-5030</t>
  </si>
  <si>
    <t>C2222</t>
  </si>
  <si>
    <t>ORD-5031</t>
  </si>
  <si>
    <t>C2416</t>
  </si>
  <si>
    <t>ORD-5032</t>
  </si>
  <si>
    <t>C2005</t>
  </si>
  <si>
    <t>ORD-5033</t>
  </si>
  <si>
    <t>C2491</t>
  </si>
  <si>
    <t>P1007</t>
  </si>
  <si>
    <t>ORD-5034</t>
  </si>
  <si>
    <t>C2168</t>
  </si>
  <si>
    <t>P1034</t>
  </si>
  <si>
    <t>ORD-5035</t>
  </si>
  <si>
    <t>C2137</t>
  </si>
  <si>
    <t>ORD-5036</t>
  </si>
  <si>
    <t>C2500</t>
  </si>
  <si>
    <t>ORD-5037</t>
  </si>
  <si>
    <t>C2129</t>
  </si>
  <si>
    <t>ORD-5038</t>
  </si>
  <si>
    <t>C2364</t>
  </si>
  <si>
    <t>P1013</t>
  </si>
  <si>
    <t>ORD-5039</t>
  </si>
  <si>
    <t>C2329</t>
  </si>
  <si>
    <t>P1022</t>
  </si>
  <si>
    <t>ORD-5040</t>
  </si>
  <si>
    <t>C2215</t>
  </si>
  <si>
    <t>ORD-5041</t>
  </si>
  <si>
    <t>C2162</t>
  </si>
  <si>
    <t>ORD-5042</t>
  </si>
  <si>
    <t>C2268</t>
  </si>
  <si>
    <t>ORD-5043</t>
  </si>
  <si>
    <t>C2287</t>
  </si>
  <si>
    <t>P1048</t>
  </si>
  <si>
    <t>ORD-5044</t>
  </si>
  <si>
    <t>C2102</t>
  </si>
  <si>
    <t>ORD-5045</t>
  </si>
  <si>
    <t>C2494</t>
  </si>
  <si>
    <t>ORD-5046</t>
  </si>
  <si>
    <t>C2255</t>
  </si>
  <si>
    <t>ORD-5047</t>
  </si>
  <si>
    <t>C2090</t>
  </si>
  <si>
    <t>P1015</t>
  </si>
  <si>
    <t>ORD-5048</t>
  </si>
  <si>
    <t>ORD-5049</t>
  </si>
  <si>
    <t>C2026</t>
  </si>
  <si>
    <t>ORD-5050</t>
  </si>
  <si>
    <t>C2432</t>
  </si>
  <si>
    <t>ORD-5051</t>
  </si>
  <si>
    <t>C2087</t>
  </si>
  <si>
    <t>ORD-5052</t>
  </si>
  <si>
    <t>C2445</t>
  </si>
  <si>
    <t>P1032</t>
  </si>
  <si>
    <t>ORD-5053</t>
  </si>
  <si>
    <t>C2470</t>
  </si>
  <si>
    <t>P1024</t>
  </si>
  <si>
    <t>ORD-5054</t>
  </si>
  <si>
    <t>C2140</t>
  </si>
  <si>
    <t>P1047</t>
  </si>
  <si>
    <t>ORD-5055</t>
  </si>
  <si>
    <t>C2185</t>
  </si>
  <si>
    <t>P1002</t>
  </si>
  <si>
    <t>ORD-5056</t>
  </si>
  <si>
    <t>P1017</t>
  </si>
  <si>
    <t>ORD-5057</t>
  </si>
  <si>
    <t>C2389</t>
  </si>
  <si>
    <t>P1019</t>
  </si>
  <si>
    <t>ORD-5058</t>
  </si>
  <si>
    <t>C2347</t>
  </si>
  <si>
    <t>ORD-5059</t>
  </si>
  <si>
    <t>C2493</t>
  </si>
  <si>
    <t>ORD-5060</t>
  </si>
  <si>
    <t>C2453</t>
  </si>
  <si>
    <t>ORD-5061</t>
  </si>
  <si>
    <t>C2134</t>
  </si>
  <si>
    <t>P1003</t>
  </si>
  <si>
    <t>ORD-5062</t>
  </si>
  <si>
    <t>C2374</t>
  </si>
  <si>
    <t>ORD-5063</t>
  </si>
  <si>
    <t>C2301</t>
  </si>
  <si>
    <t>ORD-5064</t>
  </si>
  <si>
    <t>C2143</t>
  </si>
  <si>
    <t>ORD-5065</t>
  </si>
  <si>
    <t>C2067</t>
  </si>
  <si>
    <t>ORD-5066</t>
  </si>
  <si>
    <t>C2181</t>
  </si>
  <si>
    <t>P1008</t>
  </si>
  <si>
    <t>ORD-5067</t>
  </si>
  <si>
    <t>C2180</t>
  </si>
  <si>
    <t>ORD-5068</t>
  </si>
  <si>
    <t>C2283</t>
  </si>
  <si>
    <t>ORD-5069</t>
  </si>
  <si>
    <t>C2027</t>
  </si>
  <si>
    <t>P1030</t>
  </si>
  <si>
    <t>ORD-5070</t>
  </si>
  <si>
    <t>ORD-5071</t>
  </si>
  <si>
    <t>C2292</t>
  </si>
  <si>
    <t>ORD-5072</t>
  </si>
  <si>
    <t>C2245</t>
  </si>
  <si>
    <t>ORD-5073</t>
  </si>
  <si>
    <t>C2319</t>
  </si>
  <si>
    <t>ORD-5074</t>
  </si>
  <si>
    <t>C2383</t>
  </si>
  <si>
    <t>P1023</t>
  </si>
  <si>
    <t>ORD-5075</t>
  </si>
  <si>
    <t>C2246</t>
  </si>
  <si>
    <t>ORD-5076</t>
  </si>
  <si>
    <t>C2351</t>
  </si>
  <si>
    <t>ORD-5077</t>
  </si>
  <si>
    <t>C2085</t>
  </si>
  <si>
    <t>ORD-5078</t>
  </si>
  <si>
    <t>P1036</t>
  </si>
  <si>
    <t>ORD-5079</t>
  </si>
  <si>
    <t>C2281</t>
  </si>
  <si>
    <t>ORD-5080</t>
  </si>
  <si>
    <t>C2424</t>
  </si>
  <si>
    <t>ORD-5081</t>
  </si>
  <si>
    <t>C2382</t>
  </si>
  <si>
    <t>ORD-5082</t>
  </si>
  <si>
    <t>C2205</t>
  </si>
  <si>
    <t>ORD-5083</t>
  </si>
  <si>
    <t>C2350</t>
  </si>
  <si>
    <t>ORD-5084</t>
  </si>
  <si>
    <t>C2230</t>
  </si>
  <si>
    <t>ORD-5085</t>
  </si>
  <si>
    <t>ORD-5086</t>
  </si>
  <si>
    <t>C2423</t>
  </si>
  <si>
    <t>ORD-5087</t>
  </si>
  <si>
    <t>C2194</t>
  </si>
  <si>
    <t>ORD-5088</t>
  </si>
  <si>
    <t>C2461</t>
  </si>
  <si>
    <t>P1001</t>
  </si>
  <si>
    <t>ORD-5089</t>
  </si>
  <si>
    <t>C2062</t>
  </si>
  <si>
    <t>ORD-5090</t>
  </si>
  <si>
    <t>C2028</t>
  </si>
  <si>
    <t>ORD-5091</t>
  </si>
  <si>
    <t>C2473</t>
  </si>
  <si>
    <t>P1044</t>
  </si>
  <si>
    <t>ORD-5092</t>
  </si>
  <si>
    <t>C2467</t>
  </si>
  <si>
    <t>ORD-5093</t>
  </si>
  <si>
    <t>C2361</t>
  </si>
  <si>
    <t>ORD-5094</t>
  </si>
  <si>
    <t>C2353</t>
  </si>
  <si>
    <t>ORD-5095</t>
  </si>
  <si>
    <t>C2290</t>
  </si>
  <si>
    <t>ORD-5096</t>
  </si>
  <si>
    <t>C2163</t>
  </si>
  <si>
    <t>P1039</t>
  </si>
  <si>
    <t>ORD-5097</t>
  </si>
  <si>
    <t>C2201</t>
  </si>
  <si>
    <t>ORD-5098</t>
  </si>
  <si>
    <t>C2483</t>
  </si>
  <si>
    <t>P1014</t>
  </si>
  <si>
    <t>ORD-5099</t>
  </si>
  <si>
    <t>P1043</t>
  </si>
  <si>
    <t>ORD-5100</t>
  </si>
  <si>
    <t>C2010</t>
  </si>
  <si>
    <t>ORD-5101</t>
  </si>
  <si>
    <t>C2045</t>
  </si>
  <si>
    <t>ORD-5102</t>
  </si>
  <si>
    <t>C2298</t>
  </si>
  <si>
    <t>ORD-5103</t>
  </si>
  <si>
    <t>C2038</t>
  </si>
  <si>
    <t>ORD-5104</t>
  </si>
  <si>
    <t>P1040</t>
  </si>
  <si>
    <t>ORD-5105</t>
  </si>
  <si>
    <t>C2496</t>
  </si>
  <si>
    <t>ORD-5106</t>
  </si>
  <si>
    <t>C2422</t>
  </si>
  <si>
    <t>P1035</t>
  </si>
  <si>
    <t>ORD-5107</t>
  </si>
  <si>
    <t>C2193</t>
  </si>
  <si>
    <t>ORD-5108</t>
  </si>
  <si>
    <t>C2214</t>
  </si>
  <si>
    <t>ORD-5109</t>
  </si>
  <si>
    <t>C2086</t>
  </si>
  <si>
    <t>ORD-5110</t>
  </si>
  <si>
    <t>ORD-5111</t>
  </si>
  <si>
    <t>C2198</t>
  </si>
  <si>
    <t>ORD-5112</t>
  </si>
  <si>
    <t>C2242</t>
  </si>
  <si>
    <t>ORD-5113</t>
  </si>
  <si>
    <t>C2037</t>
  </si>
  <si>
    <t>ORD-5114</t>
  </si>
  <si>
    <t>C2004</t>
  </si>
  <si>
    <t>P1010</t>
  </si>
  <si>
    <t>ORD-5115</t>
  </si>
  <si>
    <t>C2409</t>
  </si>
  <si>
    <t>ORD-5116</t>
  </si>
  <si>
    <t>C2130</t>
  </si>
  <si>
    <t>ORD-5117</t>
  </si>
  <si>
    <t>C2055</t>
  </si>
  <si>
    <t>ORD-5118</t>
  </si>
  <si>
    <t>C2469</t>
  </si>
  <si>
    <t>ORD-5119</t>
  </si>
  <si>
    <t>ORD-5120</t>
  </si>
  <si>
    <t>C2315</t>
  </si>
  <si>
    <t>ORD-5121</t>
  </si>
  <si>
    <t>C2160</t>
  </si>
  <si>
    <t>ORD-5122</t>
  </si>
  <si>
    <t>C2276</t>
  </si>
  <si>
    <t>ORD-5123</t>
  </si>
  <si>
    <t>ORD-5124</t>
  </si>
  <si>
    <t>ORD-5125</t>
  </si>
  <si>
    <t>ORD-5126</t>
  </si>
  <si>
    <t>C2441</t>
  </si>
  <si>
    <t>ORD-5127</t>
  </si>
  <si>
    <t>C2320</t>
  </si>
  <si>
    <t>ORD-5128</t>
  </si>
  <si>
    <t>C2011</t>
  </si>
  <si>
    <t>ORD-5129</t>
  </si>
  <si>
    <t>C2425</t>
  </si>
  <si>
    <t>ORD-5130</t>
  </si>
  <si>
    <t>C2377</t>
  </si>
  <si>
    <t>ORD-5131</t>
  </si>
  <si>
    <t>C2317</t>
  </si>
  <si>
    <t>ORD-5132</t>
  </si>
  <si>
    <t>C2367</t>
  </si>
  <si>
    <t>ORD-5133</t>
  </si>
  <si>
    <t>ORD-5134</t>
  </si>
  <si>
    <t>C2471</t>
  </si>
  <si>
    <t>ORD-5135</t>
  </si>
  <si>
    <t>C2195</t>
  </si>
  <si>
    <t>ORD-5136</t>
  </si>
  <si>
    <t>C2324</t>
  </si>
  <si>
    <t>ORD-5137</t>
  </si>
  <si>
    <t>C2311</t>
  </si>
  <si>
    <t>ORD-5138</t>
  </si>
  <si>
    <t>C2192</t>
  </si>
  <si>
    <t>ORD-5139</t>
  </si>
  <si>
    <t>C2044</t>
  </si>
  <si>
    <t>ORD-5140</t>
  </si>
  <si>
    <t>C2176</t>
  </si>
  <si>
    <t>ORD-5141</t>
  </si>
  <si>
    <t>C2475</t>
  </si>
  <si>
    <t>P1046</t>
  </si>
  <si>
    <t>ORD-5142</t>
  </si>
  <si>
    <t>ORD-5143</t>
  </si>
  <si>
    <t>ORD-5144</t>
  </si>
  <si>
    <t>C2145</t>
  </si>
  <si>
    <t>P1045</t>
  </si>
  <si>
    <t>ORD-5145</t>
  </si>
  <si>
    <t>C2346</t>
  </si>
  <si>
    <t>ORD-5146</t>
  </si>
  <si>
    <t>C2189</t>
  </si>
  <si>
    <t>ORD-5147</t>
  </si>
  <si>
    <t>C2331</t>
  </si>
  <si>
    <t>P1028</t>
  </si>
  <si>
    <t>ORD-5148</t>
  </si>
  <si>
    <t>C2271</t>
  </si>
  <si>
    <t>ORD-5149</t>
  </si>
  <si>
    <t>C2127</t>
  </si>
  <si>
    <t>ORD-5150</t>
  </si>
  <si>
    <t>ORD-5151</t>
  </si>
  <si>
    <t>C2125</t>
  </si>
  <si>
    <t>ORD-5152</t>
  </si>
  <si>
    <t>C2109</t>
  </si>
  <si>
    <t>ORD-5153</t>
  </si>
  <si>
    <t>C2390</t>
  </si>
  <si>
    <t>ORD-5154</t>
  </si>
  <si>
    <t>ORD-5155</t>
  </si>
  <si>
    <t>ORD-5156</t>
  </si>
  <si>
    <t>ORD-5157</t>
  </si>
  <si>
    <t>C2263</t>
  </si>
  <si>
    <t>ORD-5158</t>
  </si>
  <si>
    <t>ORD-5159</t>
  </si>
  <si>
    <t>ORD-5160</t>
  </si>
  <si>
    <t>C2288</t>
  </si>
  <si>
    <t>ORD-5161</t>
  </si>
  <si>
    <t>C2021</t>
  </si>
  <si>
    <t>ORD-5162</t>
  </si>
  <si>
    <t>C2296</t>
  </si>
  <si>
    <t>ORD-5163</t>
  </si>
  <si>
    <t>C2165</t>
  </si>
  <si>
    <t>ORD-5164</t>
  </si>
  <si>
    <t>C2457</t>
  </si>
  <si>
    <t>P1016</t>
  </si>
  <si>
    <t>ORD-5165</t>
  </si>
  <si>
    <t>ORD-5166</t>
  </si>
  <si>
    <t>C2274</t>
  </si>
  <si>
    <t>ORD-5167</t>
  </si>
  <si>
    <t>C2126</t>
  </si>
  <si>
    <t>ORD-5168</t>
  </si>
  <si>
    <t>ORD-5169</t>
  </si>
  <si>
    <t>ORD-5170</t>
  </si>
  <si>
    <t>C2219</t>
  </si>
  <si>
    <t>ORD-5171</t>
  </si>
  <si>
    <t>C2398</t>
  </si>
  <si>
    <t>ORD-5172</t>
  </si>
  <si>
    <t>ORD-5173</t>
  </si>
  <si>
    <t>C2459</t>
  </si>
  <si>
    <t>ORD-5174</t>
  </si>
  <si>
    <t>ORD-5175</t>
  </si>
  <si>
    <t>C2444</t>
  </si>
  <si>
    <t>ORD-5176</t>
  </si>
  <si>
    <t>C2455</t>
  </si>
  <si>
    <t>ORD-5177</t>
  </si>
  <si>
    <t>C2025</t>
  </si>
  <si>
    <t>ORD-5178</t>
  </si>
  <si>
    <t>ORD-5179</t>
  </si>
  <si>
    <t>C2482</t>
  </si>
  <si>
    <t>ORD-5180</t>
  </si>
  <si>
    <t>C2440</t>
  </si>
  <si>
    <t>ORD-5181</t>
  </si>
  <si>
    <t>ORD-5182</t>
  </si>
  <si>
    <t>ORD-5183</t>
  </si>
  <si>
    <t>C2115</t>
  </si>
  <si>
    <t>ORD-5184</t>
  </si>
  <si>
    <t>ORD-5185</t>
  </si>
  <si>
    <t>C2428</t>
  </si>
  <si>
    <t>ORD-5186</t>
  </si>
  <si>
    <t>C2392</t>
  </si>
  <si>
    <t>ORD-5187</t>
  </si>
  <si>
    <t>ORD-5188</t>
  </si>
  <si>
    <t>C2373</t>
  </si>
  <si>
    <t>ORD-5189</t>
  </si>
  <si>
    <t>C2395</t>
  </si>
  <si>
    <t>ORD-5190</t>
  </si>
  <si>
    <t>C2213</t>
  </si>
  <si>
    <t>ORD-5191</t>
  </si>
  <si>
    <t>C2366</t>
  </si>
  <si>
    <t>ORD-5192</t>
  </si>
  <si>
    <t>ORD-5193</t>
  </si>
  <si>
    <t>ORD-5194</t>
  </si>
  <si>
    <t>ORD-5195</t>
  </si>
  <si>
    <t>ORD-5196</t>
  </si>
  <si>
    <t>C2046</t>
  </si>
  <si>
    <t>ORD-5197</t>
  </si>
  <si>
    <t>ORD-5198</t>
  </si>
  <si>
    <t>C2111</t>
  </si>
  <si>
    <t>ORD-5199</t>
  </si>
  <si>
    <t>C2426</t>
  </si>
  <si>
    <t>ORD-5200</t>
  </si>
  <si>
    <t>C2018</t>
  </si>
  <si>
    <t>ORD-5201</t>
  </si>
  <si>
    <t>C2280</t>
  </si>
  <si>
    <t>ORD-5202</t>
  </si>
  <si>
    <t>C2133</t>
  </si>
  <si>
    <t>ORD-5203</t>
  </si>
  <si>
    <t>C2355</t>
  </si>
  <si>
    <t>ORD-5204</t>
  </si>
  <si>
    <t>ORD-5205</t>
  </si>
  <si>
    <t>C2305</t>
  </si>
  <si>
    <t>ORD-5206</t>
  </si>
  <si>
    <t>ORD-5207</t>
  </si>
  <si>
    <t>ORD-5208</t>
  </si>
  <si>
    <t>C2084</t>
  </si>
  <si>
    <t>ORD-5209</t>
  </si>
  <si>
    <t>C2291</t>
  </si>
  <si>
    <t>ORD-5210</t>
  </si>
  <si>
    <t>C2279</t>
  </si>
  <si>
    <t>ORD-5211</t>
  </si>
  <si>
    <t>ORD-5212</t>
  </si>
  <si>
    <t>C2091</t>
  </si>
  <si>
    <t>ORD-5213</t>
  </si>
  <si>
    <t>C2020</t>
  </si>
  <si>
    <t>ORD-5214</t>
  </si>
  <si>
    <t>ORD-5215</t>
  </si>
  <si>
    <t>C2448</t>
  </si>
  <si>
    <t>ORD-5216</t>
  </si>
  <si>
    <t>C2033</t>
  </si>
  <si>
    <t>ORD-5217</t>
  </si>
  <si>
    <t>C2321</t>
  </si>
  <si>
    <t>ORD-5218</t>
  </si>
  <si>
    <t>ORD-5219</t>
  </si>
  <si>
    <t>C2310</t>
  </si>
  <si>
    <t>ORD-5220</t>
  </si>
  <si>
    <t>C2034</t>
  </si>
  <si>
    <t>ORD-5221</t>
  </si>
  <si>
    <t>ORD-5222</t>
  </si>
  <si>
    <t>C2030</t>
  </si>
  <si>
    <t>ORD-5223</t>
  </si>
  <si>
    <t>C2442</t>
  </si>
  <si>
    <t>ORD-5224</t>
  </si>
  <si>
    <t>C2376</t>
  </si>
  <si>
    <t>ORD-5225</t>
  </si>
  <si>
    <t>C2206</t>
  </si>
  <si>
    <t>ORD-5226</t>
  </si>
  <si>
    <t>C2076</t>
  </si>
  <si>
    <t>ORD-5227</t>
  </si>
  <si>
    <t>ORD-5228</t>
  </si>
  <si>
    <t>C2049</t>
  </si>
  <si>
    <t>ORD-5229</t>
  </si>
  <si>
    <t>ORD-5230</t>
  </si>
  <si>
    <t>ORD-5231</t>
  </si>
  <si>
    <t>C2297</t>
  </si>
  <si>
    <t>ORD-5232</t>
  </si>
  <si>
    <t>C2487</t>
  </si>
  <si>
    <t>ORD-5233</t>
  </si>
  <si>
    <t>C2029</t>
  </si>
  <si>
    <t>ORD-5234</t>
  </si>
  <si>
    <t>ORD-5235</t>
  </si>
  <si>
    <t>ORD-5236</t>
  </si>
  <si>
    <t>ORD-5237</t>
  </si>
  <si>
    <t>C2123</t>
  </si>
  <si>
    <t>ORD-5238</t>
  </si>
  <si>
    <t>C2150</t>
  </si>
  <si>
    <t>ORD-5239</t>
  </si>
  <si>
    <t>C2217</t>
  </si>
  <si>
    <t>ORD-5240</t>
  </si>
  <si>
    <t>ORD-5241</t>
  </si>
  <si>
    <t>ORD-5242</t>
  </si>
  <si>
    <t>C2128</t>
  </si>
  <si>
    <t>ORD-5243</t>
  </si>
  <si>
    <t>C2233</t>
  </si>
  <si>
    <t>ORD-5244</t>
  </si>
  <si>
    <t>C2022</t>
  </si>
  <si>
    <t>ORD-5245</t>
  </si>
  <si>
    <t>ORD-5246</t>
  </si>
  <si>
    <t>C2169</t>
  </si>
  <si>
    <t>ORD-5247</t>
  </si>
  <si>
    <t>ORD-5248</t>
  </si>
  <si>
    <t>C2002</t>
  </si>
  <si>
    <t>ORD-5249</t>
  </si>
  <si>
    <t>C2332</t>
  </si>
  <si>
    <t>ORD-5250</t>
  </si>
  <si>
    <t>C2465</t>
  </si>
  <si>
    <t>ORD-5251</t>
  </si>
  <si>
    <t>C2326</t>
  </si>
  <si>
    <t>ORD-5252</t>
  </si>
  <si>
    <t>C2322</t>
  </si>
  <si>
    <t>ORD-5253</t>
  </si>
  <si>
    <t>C2275</t>
  </si>
  <si>
    <t>ORD-5254</t>
  </si>
  <si>
    <t>C2071</t>
  </si>
  <si>
    <t>ORD-5255</t>
  </si>
  <si>
    <t>C2043</t>
  </si>
  <si>
    <t>ORD-5256</t>
  </si>
  <si>
    <t>C2421</t>
  </si>
  <si>
    <t>ORD-5257</t>
  </si>
  <si>
    <t>ORD-5258</t>
  </si>
  <si>
    <t>C2312</t>
  </si>
  <si>
    <t>ORD-5259</t>
  </si>
  <si>
    <t>ORD-5260</t>
  </si>
  <si>
    <t>C2225</t>
  </si>
  <si>
    <t>ORD-5261</t>
  </si>
  <si>
    <t>C2436</t>
  </si>
  <si>
    <t>ORD-5262</t>
  </si>
  <si>
    <t>C2417</t>
  </si>
  <si>
    <t>ORD-5263</t>
  </si>
  <si>
    <t>ORD-5264</t>
  </si>
  <si>
    <t>C2042</t>
  </si>
  <si>
    <t>ORD-5265</t>
  </si>
  <si>
    <t>ORD-5266</t>
  </si>
  <si>
    <t>C2357</t>
  </si>
  <si>
    <t>ORD-5267</t>
  </si>
  <si>
    <t>ORD-5268</t>
  </si>
  <si>
    <t>C2094</t>
  </si>
  <si>
    <t>ORD-5269</t>
  </si>
  <si>
    <t>C2481</t>
  </si>
  <si>
    <t>ORD-5270</t>
  </si>
  <si>
    <t>ORD-5271</t>
  </si>
  <si>
    <t>C2135</t>
  </si>
  <si>
    <t>ORD-5272</t>
  </si>
  <si>
    <t>ORD-5273</t>
  </si>
  <si>
    <t>C2083</t>
  </si>
  <si>
    <t>ORD-5274</t>
  </si>
  <si>
    <t>C2232</t>
  </si>
  <si>
    <t>ORD-5275</t>
  </si>
  <si>
    <t>ORD-5276</t>
  </si>
  <si>
    <t>C2284</t>
  </si>
  <si>
    <t>ORD-5277</t>
  </si>
  <si>
    <t>C2158</t>
  </si>
  <si>
    <t>ORD-5278</t>
  </si>
  <si>
    <t>ORD-5279</t>
  </si>
  <si>
    <t>ORD-5280</t>
  </si>
  <si>
    <t>C2032</t>
  </si>
  <si>
    <t>ORD-5281</t>
  </si>
  <si>
    <t>C2191</t>
  </si>
  <si>
    <t>ORD-5282</t>
  </si>
  <si>
    <t>C2468</t>
  </si>
  <si>
    <t>ORD-5283</t>
  </si>
  <si>
    <t>C2001</t>
  </si>
  <si>
    <t>ORD-5284</t>
  </si>
  <si>
    <t>ORD-5285</t>
  </si>
  <si>
    <t>C2370</t>
  </si>
  <si>
    <t>ORD-5286</t>
  </si>
  <si>
    <t>ORD-5287</t>
  </si>
  <si>
    <t>ORD-5288</t>
  </si>
  <si>
    <t>C2208</t>
  </si>
  <si>
    <t>ORD-5289</t>
  </si>
  <si>
    <t>ORD-5290</t>
  </si>
  <si>
    <t>ORD-5291</t>
  </si>
  <si>
    <t>ORD-5292</t>
  </si>
  <si>
    <t>ORD-5293</t>
  </si>
  <si>
    <t>C2172</t>
  </si>
  <si>
    <t>ORD-5294</t>
  </si>
  <si>
    <t>C2384</t>
  </si>
  <si>
    <t>ORD-5295</t>
  </si>
  <si>
    <t>C2438</t>
  </si>
  <si>
    <t>ORD-5296</t>
  </si>
  <si>
    <t>C2316</t>
  </si>
  <si>
    <t>ORD-5297</t>
  </si>
  <si>
    <t>ORD-5298</t>
  </si>
  <si>
    <t>ORD-5299</t>
  </si>
  <si>
    <t>ORD-5300</t>
  </si>
  <si>
    <t>C2327</t>
  </si>
  <si>
    <t>ORD-5301</t>
  </si>
  <si>
    <t>ORD-5302</t>
  </si>
  <si>
    <t>C2103</t>
  </si>
  <si>
    <t>ORD-5303</t>
  </si>
  <si>
    <t>C2466</t>
  </si>
  <si>
    <t>ORD-5304</t>
  </si>
  <si>
    <t>C2495</t>
  </si>
  <si>
    <t>ORD-5305</t>
  </si>
  <si>
    <t>C2449</t>
  </si>
  <si>
    <t>ORD-5306</t>
  </si>
  <si>
    <t>C2182</t>
  </si>
  <si>
    <t>ORD-5307</t>
  </si>
  <si>
    <t>C2013</t>
  </si>
  <si>
    <t>ORD-5308</t>
  </si>
  <si>
    <t>ORD-5309</t>
  </si>
  <si>
    <t>C2036</t>
  </si>
  <si>
    <t>ORD-5310</t>
  </si>
  <si>
    <t>ORD-5311</t>
  </si>
  <si>
    <t>ORD-5312</t>
  </si>
  <si>
    <t>C2237</t>
  </si>
  <si>
    <t>ORD-5313</t>
  </si>
  <si>
    <t>ORD-5314</t>
  </si>
  <si>
    <t>ORD-5315</t>
  </si>
  <si>
    <t>C2061</t>
  </si>
  <si>
    <t>ORD-5316</t>
  </si>
  <si>
    <t>ORD-5317</t>
  </si>
  <si>
    <t>ORD-5318</t>
  </si>
  <si>
    <t>ORD-5319</t>
  </si>
  <si>
    <t>C2277</t>
  </si>
  <si>
    <t>ORD-5320</t>
  </si>
  <si>
    <t>ORD-5321</t>
  </si>
  <si>
    <t>ORD-5322</t>
  </si>
  <si>
    <t>C2226</t>
  </si>
  <si>
    <t>ORD-5323</t>
  </si>
  <si>
    <t>ORD-5324</t>
  </si>
  <si>
    <t>ORD-5325</t>
  </si>
  <si>
    <t>C2414</t>
  </si>
  <si>
    <t>ORD-5326</t>
  </si>
  <si>
    <t>C2144</t>
  </si>
  <si>
    <t>ORD-5327</t>
  </si>
  <si>
    <t>ORD-5328</t>
  </si>
  <si>
    <t>ORD-5329</t>
  </si>
  <si>
    <t>C2203</t>
  </si>
  <si>
    <t>ORD-5330</t>
  </si>
  <si>
    <t>C2092</t>
  </si>
  <si>
    <t>ORD-5331</t>
  </si>
  <si>
    <t>C2337</t>
  </si>
  <si>
    <t>ORD-5332</t>
  </si>
  <si>
    <t>C2265</t>
  </si>
  <si>
    <t>ORD-5333</t>
  </si>
  <si>
    <t>ORD-5334</t>
  </si>
  <si>
    <t>C2241</t>
  </si>
  <si>
    <t>ORD-5335</t>
  </si>
  <si>
    <t>ORD-5336</t>
  </si>
  <si>
    <t>ORD-5337</t>
  </si>
  <si>
    <t>C2171</t>
  </si>
  <si>
    <t>ORD-5338</t>
  </si>
  <si>
    <t>ORD-5339</t>
  </si>
  <si>
    <t>C2478</t>
  </si>
  <si>
    <t>ORD-5340</t>
  </si>
  <si>
    <t>C2148</t>
  </si>
  <si>
    <t>ORD-5341</t>
  </si>
  <si>
    <t>ORD-5342</t>
  </si>
  <si>
    <t>C2365</t>
  </si>
  <si>
    <t>ORD-5343</t>
  </si>
  <si>
    <t>ORD-5344</t>
  </si>
  <si>
    <t>ORD-5345</t>
  </si>
  <si>
    <t>C2078</t>
  </si>
  <si>
    <t>ORD-5346</t>
  </si>
  <si>
    <t>ORD-5347</t>
  </si>
  <si>
    <t>ORD-5348</t>
  </si>
  <si>
    <t>C2243</t>
  </si>
  <si>
    <t>ORD-5349</t>
  </si>
  <si>
    <t>C2177</t>
  </si>
  <si>
    <t>ORD-5350</t>
  </si>
  <si>
    <t>C2270</t>
  </si>
  <si>
    <t>ORD-5351</t>
  </si>
  <si>
    <t>C2173</t>
  </si>
  <si>
    <t>ORD-5352</t>
  </si>
  <si>
    <t>ORD-5353</t>
  </si>
  <si>
    <t>ORD-5354</t>
  </si>
  <si>
    <t>C2498</t>
  </si>
  <si>
    <t>ORD-5355</t>
  </si>
  <si>
    <t>ORD-5356</t>
  </si>
  <si>
    <t>C2454</t>
  </si>
  <si>
    <t>ORD-5357</t>
  </si>
  <si>
    <t>C2164</t>
  </si>
  <si>
    <t>ORD-5358</t>
  </si>
  <si>
    <t>ORD-5359</t>
  </si>
  <si>
    <t>ORD-5360</t>
  </si>
  <si>
    <t>C2313</t>
  </si>
  <si>
    <t>ORD-5361</t>
  </si>
  <si>
    <t>ORD-5362</t>
  </si>
  <si>
    <t>C2017</t>
  </si>
  <si>
    <t>ORD-5363</t>
  </si>
  <si>
    <t>C2052</t>
  </si>
  <si>
    <t>ORD-5364</t>
  </si>
  <si>
    <t>C2273</t>
  </si>
  <si>
    <t>ORD-5365</t>
  </si>
  <si>
    <t>ORD-5366</t>
  </si>
  <si>
    <t>C2336</t>
  </si>
  <si>
    <t>ORD-5367</t>
  </si>
  <si>
    <t>C2413</t>
  </si>
  <si>
    <t>ORD-5368</t>
  </si>
  <si>
    <t>ORD-5369</t>
  </si>
  <si>
    <t>C2120</t>
  </si>
  <si>
    <t>ORD-5370</t>
  </si>
  <si>
    <t>ORD-5371</t>
  </si>
  <si>
    <t>ORD-5372</t>
  </si>
  <si>
    <t>ORD-5373</t>
  </si>
  <si>
    <t>ORD-5374</t>
  </si>
  <si>
    <t>C2476</t>
  </si>
  <si>
    <t>ORD-5375</t>
  </si>
  <si>
    <t>C2110</t>
  </si>
  <si>
    <t>ORD-5376</t>
  </si>
  <si>
    <t>ORD-5377</t>
  </si>
  <si>
    <t>C2221</t>
  </si>
  <si>
    <t>ORD-5378</t>
  </si>
  <si>
    <t>C2204</t>
  </si>
  <si>
    <t>ORD-5379</t>
  </si>
  <si>
    <t>ORD-5380</t>
  </si>
  <si>
    <t>ORD-5381</t>
  </si>
  <si>
    <t>C2267</t>
  </si>
  <si>
    <t>ORD-5382</t>
  </si>
  <si>
    <t>C2117</t>
  </si>
  <si>
    <t>ORD-5383</t>
  </si>
  <si>
    <t>C2447</t>
  </si>
  <si>
    <t>ORD-5384</t>
  </si>
  <si>
    <t>C2228</t>
  </si>
  <si>
    <t>ORD-5385</t>
  </si>
  <si>
    <t>C2035</t>
  </si>
  <si>
    <t>ORD-5386</t>
  </si>
  <si>
    <t>ORD-5387</t>
  </si>
  <si>
    <t>ORD-5388</t>
  </si>
  <si>
    <t>ORD-5389</t>
  </si>
  <si>
    <t>ORD-5390</t>
  </si>
  <si>
    <t>C2407</t>
  </si>
  <si>
    <t>ORD-5391</t>
  </si>
  <si>
    <t>C2451</t>
  </si>
  <si>
    <t>ORD-5392</t>
  </si>
  <si>
    <t>ORD-5393</t>
  </si>
  <si>
    <t>C2065</t>
  </si>
  <si>
    <t>ORD-5394</t>
  </si>
  <si>
    <t>ORD-5395</t>
  </si>
  <si>
    <t>ORD-5396</t>
  </si>
  <si>
    <t>C2257</t>
  </si>
  <si>
    <t>ORD-5397</t>
  </si>
  <si>
    <t>ORD-5398</t>
  </si>
  <si>
    <t>ORD-5399</t>
  </si>
  <si>
    <t>ORD-5400</t>
  </si>
  <si>
    <t>ORD-5401</t>
  </si>
  <si>
    <t>ORD-5402</t>
  </si>
  <si>
    <t>ORD-5403</t>
  </si>
  <si>
    <t>ORD-5404</t>
  </si>
  <si>
    <t>ORD-5405</t>
  </si>
  <si>
    <t>C2197</t>
  </si>
  <si>
    <t>ORD-5406</t>
  </si>
  <si>
    <t>C2012</t>
  </si>
  <si>
    <t>ORD-5407</t>
  </si>
  <si>
    <t>ORD-5408</t>
  </si>
  <si>
    <t>C2147</t>
  </si>
  <si>
    <t>ORD-5409</t>
  </si>
  <si>
    <t>C2207</t>
  </si>
  <si>
    <t>ORD-5410</t>
  </si>
  <si>
    <t>C2369</t>
  </si>
  <si>
    <t>ORD-5411</t>
  </si>
  <si>
    <t>ORD-5412</t>
  </si>
  <si>
    <t>C2472</t>
  </si>
  <si>
    <t>ORD-5413</t>
  </si>
  <si>
    <t>C2385</t>
  </si>
  <si>
    <t>ORD-5414</t>
  </si>
  <si>
    <t>C2309</t>
  </si>
  <si>
    <t>ORD-5415</t>
  </si>
  <si>
    <t>ORD-5416</t>
  </si>
  <si>
    <t>C2007</t>
  </si>
  <si>
    <t>ORD-5417</t>
  </si>
  <si>
    <t>ORD-5418</t>
  </si>
  <si>
    <t>ORD-5419</t>
  </si>
  <si>
    <t>C2070</t>
  </si>
  <si>
    <t>ORD-5420</t>
  </si>
  <si>
    <t>C2009</t>
  </si>
  <si>
    <t>ORD-5421</t>
  </si>
  <si>
    <t>ORD-5422</t>
  </si>
  <si>
    <t>ORD-5423</t>
  </si>
  <si>
    <t>ORD-5424</t>
  </si>
  <si>
    <t>C2253</t>
  </si>
  <si>
    <t>ORD-5425</t>
  </si>
  <si>
    <t>ORD-5426</t>
  </si>
  <si>
    <t>ORD-5427</t>
  </si>
  <si>
    <t>ORD-5428</t>
  </si>
  <si>
    <t>C2379</t>
  </si>
  <si>
    <t>ORD-5429</t>
  </si>
  <si>
    <t>ORD-5430</t>
  </si>
  <si>
    <t>ORD-5431</t>
  </si>
  <si>
    <t>C2081</t>
  </si>
  <si>
    <t>ORD-5432</t>
  </si>
  <si>
    <t>ORD-5433</t>
  </si>
  <si>
    <t>C2458</t>
  </si>
  <si>
    <t>ORD-5434</t>
  </si>
  <si>
    <t>C2333</t>
  </si>
  <si>
    <t>ORD-5435</t>
  </si>
  <si>
    <t>C2073</t>
  </si>
  <si>
    <t>ORD-5436</t>
  </si>
  <si>
    <t>C2354</t>
  </si>
  <si>
    <t>ORD-5437</t>
  </si>
  <si>
    <t>C2008</t>
  </si>
  <si>
    <t>ORD-5438</t>
  </si>
  <si>
    <t>C2056</t>
  </si>
  <si>
    <t>ORD-5439</t>
  </si>
  <si>
    <t>ORD-5440</t>
  </si>
  <si>
    <t>ORD-5441</t>
  </si>
  <si>
    <t>ORD-5442</t>
  </si>
  <si>
    <t>ORD-5443</t>
  </si>
  <si>
    <t>ORD-5444</t>
  </si>
  <si>
    <t>ORD-5445</t>
  </si>
  <si>
    <t>ORD-5446</t>
  </si>
  <si>
    <t>ORD-5447</t>
  </si>
  <si>
    <t>C2314</t>
  </si>
  <si>
    <t>ORD-5448</t>
  </si>
  <si>
    <t>C2149</t>
  </si>
  <si>
    <t>ORD-5449</t>
  </si>
  <si>
    <t>ORD-5450</t>
  </si>
  <si>
    <t>ORD-5451</t>
  </si>
  <si>
    <t>ORD-5452</t>
  </si>
  <si>
    <t>ORD-5453</t>
  </si>
  <si>
    <t>C2295</t>
  </si>
  <si>
    <t>ORD-5454</t>
  </si>
  <si>
    <t>ORD-5455</t>
  </si>
  <si>
    <t>C2050</t>
  </si>
  <si>
    <t>ORD-5456</t>
  </si>
  <si>
    <t>C2396</t>
  </si>
  <si>
    <t>ORD-5457</t>
  </si>
  <si>
    <t>C2175</t>
  </si>
  <si>
    <t>ORD-5458</t>
  </si>
  <si>
    <t>C2401</t>
  </si>
  <si>
    <t>ORD-5459</t>
  </si>
  <si>
    <t>ORD-5460</t>
  </si>
  <si>
    <t>ORD-5461</t>
  </si>
  <si>
    <t>ORD-5462</t>
  </si>
  <si>
    <t>C2142</t>
  </si>
  <si>
    <t>ORD-5463</t>
  </si>
  <si>
    <t>ORD-5464</t>
  </si>
  <si>
    <t>ORD-5465</t>
  </si>
  <si>
    <t>C2166</t>
  </si>
  <si>
    <t>ORD-5466</t>
  </si>
  <si>
    <t>C2183</t>
  </si>
  <si>
    <t>ORD-5467</t>
  </si>
  <si>
    <t>ORD-5468</t>
  </si>
  <si>
    <t>ORD-5469</t>
  </si>
  <si>
    <t>C2016</t>
  </si>
  <si>
    <t>ORD-5470</t>
  </si>
  <si>
    <t>C2410</t>
  </si>
  <si>
    <t>ORD-5471</t>
  </si>
  <si>
    <t>C2378</t>
  </si>
  <si>
    <t>ORD-5472</t>
  </si>
  <si>
    <t>ORD-5473</t>
  </si>
  <si>
    <t>C2254</t>
  </si>
  <si>
    <t>ORD-5474</t>
  </si>
  <si>
    <t>C2239</t>
  </si>
  <si>
    <t>ORD-5475</t>
  </si>
  <si>
    <t>ORD-5476</t>
  </si>
  <si>
    <t>ORD-5477</t>
  </si>
  <si>
    <t>ORD-5478</t>
  </si>
  <si>
    <t>C2338</t>
  </si>
  <si>
    <t>ORD-5479</t>
  </si>
  <si>
    <t>C2303</t>
  </si>
  <si>
    <t>ORD-5480</t>
  </si>
  <si>
    <t>C2229</t>
  </si>
  <si>
    <t>ORD-5481</t>
  </si>
  <si>
    <t>C2136</t>
  </si>
  <si>
    <t>ORD-5482</t>
  </si>
  <si>
    <t>ORD-5483</t>
  </si>
  <si>
    <t>ORD-5484</t>
  </si>
  <si>
    <t>C2325</t>
  </si>
  <si>
    <t>ORD-5485</t>
  </si>
  <si>
    <t>C2059</t>
  </si>
  <si>
    <t>ORD-5486</t>
  </si>
  <si>
    <t>ORD-5487</t>
  </si>
  <si>
    <t>ORD-5488</t>
  </si>
  <si>
    <t>C2262</t>
  </si>
  <si>
    <t>ORD-5489</t>
  </si>
  <si>
    <t>ORD-5490</t>
  </si>
  <si>
    <t>ORD-5491</t>
  </si>
  <si>
    <t>ORD-5492</t>
  </si>
  <si>
    <t>C2210</t>
  </si>
  <si>
    <t>ORD-5493</t>
  </si>
  <si>
    <t>ORD-5494</t>
  </si>
  <si>
    <t>ORD-5495</t>
  </si>
  <si>
    <t>C2234</t>
  </si>
  <si>
    <t>ORD-5496</t>
  </si>
  <si>
    <t>ORD-5497</t>
  </si>
  <si>
    <t>ORD-5498</t>
  </si>
  <si>
    <t>C2211</t>
  </si>
  <si>
    <t>ORD-5499</t>
  </si>
  <si>
    <t>ORD-5500</t>
  </si>
  <si>
    <t>C2146</t>
  </si>
  <si>
    <t>ORD-5501</t>
  </si>
  <si>
    <t>ORD-5502</t>
  </si>
  <si>
    <t>ORD-5503</t>
  </si>
  <si>
    <t>ORD-5504</t>
  </si>
  <si>
    <t>ORD-5505</t>
  </si>
  <si>
    <t>ORD-5506</t>
  </si>
  <si>
    <t>ORD-5507</t>
  </si>
  <si>
    <t>ORD-5508</t>
  </si>
  <si>
    <t>ORD-5509</t>
  </si>
  <si>
    <t>C2342</t>
  </si>
  <si>
    <t>ORD-5510</t>
  </si>
  <si>
    <t>ORD-5511</t>
  </si>
  <si>
    <t>ORD-5512</t>
  </si>
  <si>
    <t>C2427</t>
  </si>
  <si>
    <t>ORD-5513</t>
  </si>
  <si>
    <t>ORD-5514</t>
  </si>
  <si>
    <t>ORD-5515</t>
  </si>
  <si>
    <t>ORD-5516</t>
  </si>
  <si>
    <t>C2101</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</si>
  <si>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</si>
  <si>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</si>
  <si>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</si>
  <si>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</si>
  <si>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</si>
  <si>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</si>
  <si>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</si>
  <si>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</si>
  <si>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</si>
  <si>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</si>
  <si>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</si>
  <si>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</si>
  <si>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</si>
  <si>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</si>
  <si>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</si>
  <si>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</si>
  <si>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</si>
  <si>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C2452</t>
  </si>
  <si>
    <t>ORD-5534</t>
  </si>
  <si>
    <t>ORD-5535</t>
  </si>
  <si>
    <t>ORD-5536</t>
  </si>
  <si>
    <t>ORD-5537</t>
  </si>
  <si>
    <t>C2400</t>
  </si>
  <si>
    <t>ORD-5538</t>
  </si>
  <si>
    <t>ORD-5539</t>
  </si>
  <si>
    <t>ORD-5540</t>
  </si>
  <si>
    <t>ORD-5541</t>
  </si>
  <si>
    <t>ORD-5542</t>
  </si>
  <si>
    <t>C2477</t>
  </si>
  <si>
    <t>ORD-5543</t>
  </si>
  <si>
    <t>ORD-5544</t>
  </si>
  <si>
    <t>ORD-5545</t>
  </si>
  <si>
    <t>ORD-5546</t>
  </si>
  <si>
    <t>ORD-5547</t>
  </si>
  <si>
    <t>C2360</t>
  </si>
  <si>
    <t>ORD-5548</t>
  </si>
  <si>
    <t>C2339</t>
  </si>
  <si>
    <t>ORD-5549</t>
  </si>
  <si>
    <t>ORD-5550</t>
  </si>
  <si>
    <t>C2064</t>
  </si>
  <si>
    <t>ORD-5551</t>
  </si>
  <si>
    <t>ORD-5552</t>
  </si>
  <si>
    <t>C2359</t>
  </si>
  <si>
    <t>ORD-5553</t>
  </si>
  <si>
    <t>ORD-5554</t>
  </si>
  <si>
    <t>C2460</t>
  </si>
  <si>
    <t>ORD-5555</t>
  </si>
  <si>
    <t>ORD-5556</t>
  </si>
  <si>
    <t>ORD-5557</t>
  </si>
  <si>
    <t>ORD-5558</t>
  </si>
  <si>
    <t>C2330</t>
  </si>
  <si>
    <t>ORD-5559</t>
  </si>
  <si>
    <t>ORD-5560</t>
  </si>
  <si>
    <t>ORD-5561</t>
  </si>
  <si>
    <t>C2387</t>
  </si>
  <si>
    <t>ORD-5562</t>
  </si>
  <si>
    <t>ORD-5563</t>
  </si>
  <si>
    <t>ORD-5564</t>
  </si>
  <si>
    <t>C2358</t>
  </si>
  <si>
    <t>ORD-5565</t>
  </si>
  <si>
    <t>ORD-5566</t>
  </si>
  <si>
    <t>ORD-5567</t>
  </si>
  <si>
    <t>C2293</t>
  </si>
  <si>
    <t>ORD-5568</t>
  </si>
  <si>
    <t>C2302</t>
  </si>
  <si>
    <t>ORD-5569</t>
  </si>
  <si>
    <t>ORD-5570</t>
  </si>
  <si>
    <t>C2394</t>
  </si>
  <si>
    <t>ORD-5571</t>
  </si>
  <si>
    <t>ORD-5572</t>
  </si>
  <si>
    <t>C2300</t>
  </si>
  <si>
    <t>ORD-5573</t>
  </si>
  <si>
    <t>ORD-5574</t>
  </si>
  <si>
    <t>ORD-5575</t>
  </si>
  <si>
    <t>ORD-5576</t>
  </si>
  <si>
    <t>ORD-5577</t>
  </si>
  <si>
    <t>C2405</t>
  </si>
  <si>
    <t>ORD-5578</t>
  </si>
  <si>
    <t>C2251</t>
  </si>
  <si>
    <t>ORD-5579</t>
  </si>
  <si>
    <t>C2132</t>
  </si>
  <si>
    <t>ORD-5580</t>
  </si>
  <si>
    <t>ORD-5581</t>
  </si>
  <si>
    <t>ORD-5582</t>
  </si>
  <si>
    <t>ORD-5583</t>
  </si>
  <si>
    <t>ORD-5584</t>
  </si>
  <si>
    <t>ORD-5585</t>
  </si>
  <si>
    <t>ORD-5586</t>
  </si>
  <si>
    <t>C2375</t>
  </si>
  <si>
    <t>ORD-5587</t>
  </si>
  <si>
    <t>ORD-5588</t>
  </si>
  <si>
    <t>ORD-5589</t>
  </si>
  <si>
    <t>ORD-5590</t>
  </si>
  <si>
    <t>ORD-5591</t>
  </si>
  <si>
    <t>ORD-5592</t>
  </si>
  <si>
    <t>ORD-5593</t>
  </si>
  <si>
    <t>ORD-5594</t>
  </si>
  <si>
    <t>ORD-5595</t>
  </si>
  <si>
    <t>ORD-5596</t>
  </si>
  <si>
    <t>C2399</t>
  </si>
  <si>
    <t>ORD-5597</t>
  </si>
  <si>
    <t>C2048</t>
  </si>
  <si>
    <t>ORD-5598</t>
  </si>
  <si>
    <t>ORD-5599</t>
  </si>
  <si>
    <t>ORD-5600</t>
  </si>
  <si>
    <t>C2174</t>
  </si>
  <si>
    <t>ORD-5601</t>
  </si>
  <si>
    <t>ORD-5602</t>
  </si>
  <si>
    <t>C2113</t>
  </si>
  <si>
    <t>ORD-5603</t>
  </si>
  <si>
    <t>ORD-5604</t>
  </si>
  <si>
    <t>ORD-5605</t>
  </si>
  <si>
    <t>ORD-5606</t>
  </si>
  <si>
    <t>ORD-5607</t>
  </si>
  <si>
    <t>ORD-5608</t>
  </si>
  <si>
    <t>ORD-5609</t>
  </si>
  <si>
    <t>ORD-5610</t>
  </si>
  <si>
    <t>ORD-5611</t>
  </si>
  <si>
    <t>ORD-5612</t>
  </si>
  <si>
    <t>ORD-5613</t>
  </si>
  <si>
    <t>C2096</t>
  </si>
  <si>
    <t>ORD-5614</t>
  </si>
  <si>
    <t>ORD-5615</t>
  </si>
  <si>
    <t>ORD-5616</t>
  </si>
  <si>
    <t>ORD-5617</t>
  </si>
  <si>
    <t>ORD-5618</t>
  </si>
  <si>
    <t>ORD-5619</t>
  </si>
  <si>
    <t>ORD-5620</t>
  </si>
  <si>
    <t>ORD-5621</t>
  </si>
  <si>
    <t>ORD-5622</t>
  </si>
  <si>
    <t>C2306</t>
  </si>
  <si>
    <t>ORD-5623</t>
  </si>
  <si>
    <t>ORD-5624</t>
  </si>
  <si>
    <t>ORD-5625</t>
  </si>
  <si>
    <t>ORD-5626</t>
  </si>
  <si>
    <t>ORD-5627</t>
  </si>
  <si>
    <t>ORD-5628</t>
  </si>
  <si>
    <t>ORD-5629</t>
  </si>
  <si>
    <t>ORD-5630</t>
  </si>
  <si>
    <t>C2490</t>
  </si>
  <si>
    <t>ORD-5631</t>
  </si>
  <si>
    <t>ORD-5632</t>
  </si>
  <si>
    <t>ORD-5633</t>
  </si>
  <si>
    <t>C2031</t>
  </si>
  <si>
    <t>ORD-5634</t>
  </si>
  <si>
    <t>ORD-5635</t>
  </si>
  <si>
    <t>ORD-5636</t>
  </si>
  <si>
    <t>ORD-5637</t>
  </si>
  <si>
    <t>ORD-5638</t>
  </si>
  <si>
    <t>ORD-5639</t>
  </si>
  <si>
    <t>ORD-5640</t>
  </si>
  <si>
    <t>ORD-5641</t>
  </si>
  <si>
    <t>ORD-5642</t>
  </si>
  <si>
    <t>ORD-5643</t>
  </si>
  <si>
    <t>ORD-5644</t>
  </si>
  <si>
    <t>ORD-5645</t>
  </si>
  <si>
    <t>C2489</t>
  </si>
  <si>
    <t>ORD-5646</t>
  </si>
  <si>
    <t>ORD-5647</t>
  </si>
  <si>
    <t>ORD-5648</t>
  </si>
  <si>
    <t>C2200</t>
  </si>
  <si>
    <t>ORD-5649</t>
  </si>
  <si>
    <t>ORD-5650</t>
  </si>
  <si>
    <t>C2386</t>
  </si>
  <si>
    <t>ORD-5651</t>
  </si>
  <si>
    <t>ORD-5652</t>
  </si>
  <si>
    <t>ORD-5653</t>
  </si>
  <si>
    <t>ORD-5654</t>
  </si>
  <si>
    <t>ORD-5655</t>
  </si>
  <si>
    <t>ORD-5656</t>
  </si>
  <si>
    <t>ORD-5657</t>
  </si>
  <si>
    <t>C2240</t>
  </si>
  <si>
    <t>ORD-5658</t>
  </si>
  <si>
    <t>ORD-5659</t>
  </si>
  <si>
    <t>ORD-5660</t>
  </si>
  <si>
    <t>C2236</t>
  </si>
  <si>
    <t>ORD-5661</t>
  </si>
  <si>
    <t>C2356</t>
  </si>
  <si>
    <t>ORD-5662</t>
  </si>
  <si>
    <t>C2089</t>
  </si>
  <si>
    <t>ORD-5663</t>
  </si>
  <si>
    <t>ORD-5664</t>
  </si>
  <si>
    <t>ORD-5665</t>
  </si>
  <si>
    <t>C2340</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</si>
  <si>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</si>
  <si>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</si>
  <si>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</si>
  <si>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</si>
  <si>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</si>
  <si>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</si>
  <si>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</si>
  <si>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</si>
  <si>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</si>
  <si>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</si>
  <si>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</si>
  <si>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</si>
  <si>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</si>
  <si>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</si>
  <si>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</si>
  <si>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</si>
  <si>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</si>
  <si>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</si>
  <si>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C2372</t>
  </si>
  <si>
    <t>ORD-5684</t>
  </si>
  <si>
    <t>ORD-5685</t>
  </si>
  <si>
    <t>C2218</t>
  </si>
  <si>
    <t>ORD-5686</t>
  </si>
  <si>
    <t>ORD-5687</t>
  </si>
  <si>
    <t>ORD-5688</t>
  </si>
  <si>
    <t>ORD-5689</t>
  </si>
  <si>
    <t>ORD-5690</t>
  </si>
  <si>
    <t>ORD-5691</t>
  </si>
  <si>
    <t>C2256</t>
  </si>
  <si>
    <t>ORD-5692</t>
  </si>
  <si>
    <t>ORD-5693</t>
  </si>
  <si>
    <t>ORD-5694</t>
  </si>
  <si>
    <t>ORD-5695</t>
  </si>
  <si>
    <t>ORD-5696</t>
  </si>
  <si>
    <t>ORD-5697</t>
  </si>
  <si>
    <t>C2406</t>
  </si>
  <si>
    <t>ORD-5698</t>
  </si>
  <si>
    <t>ORD-5699</t>
  </si>
  <si>
    <t>ORD-5700</t>
  </si>
  <si>
    <t>ORD-5701</t>
  </si>
  <si>
    <t>ORD-5702</t>
  </si>
  <si>
    <t>C2161</t>
  </si>
  <si>
    <t>ORD-5703</t>
  </si>
  <si>
    <t>ORD-5704</t>
  </si>
  <si>
    <t>ORD-5705</t>
  </si>
  <si>
    <t>C2264</t>
  </si>
  <si>
    <t>ORD-5706</t>
  </si>
  <si>
    <t>ORD-5707</t>
  </si>
  <si>
    <t>ORD-5708</t>
  </si>
  <si>
    <t>ORD-5709</t>
  </si>
  <si>
    <t>ORD-5710</t>
  </si>
  <si>
    <t>ORD-5711</t>
  </si>
  <si>
    <t>ORD-5712</t>
  </si>
  <si>
    <t>ORD-5713</t>
  </si>
  <si>
    <t>ORD-5714</t>
  </si>
  <si>
    <t>ORD-5715</t>
  </si>
  <si>
    <t>ORD-5716</t>
  </si>
  <si>
    <t>C2097</t>
  </si>
  <si>
    <t>ORD-5717</t>
  </si>
  <si>
    <t>ORD-5718</t>
  </si>
  <si>
    <t>ORD-5719</t>
  </si>
  <si>
    <t>ORD-5720</t>
  </si>
  <si>
    <t>ORD-5721</t>
  </si>
  <si>
    <t>C2497</t>
  </si>
  <si>
    <t>ORD-5722</t>
  </si>
  <si>
    <t>ORD-5723</t>
  </si>
  <si>
    <t>ORD-5724</t>
  </si>
  <si>
    <t>ORD-5725</t>
  </si>
  <si>
    <t>C2154</t>
  </si>
  <si>
    <t>ORD-5726</t>
  </si>
  <si>
    <t>C2131</t>
  </si>
  <si>
    <t>ORD-5727</t>
  </si>
  <si>
    <t>ORD-5728</t>
  </si>
  <si>
    <t>C2308</t>
  </si>
  <si>
    <t>ORD-5729</t>
  </si>
  <si>
    <t>ORD-5730</t>
  </si>
  <si>
    <t>ORD-5731</t>
  </si>
  <si>
    <t>ORD-5732</t>
  </si>
  <si>
    <t>ORD-5733</t>
  </si>
  <si>
    <t>ORD-5734</t>
  </si>
  <si>
    <t>C2019</t>
  </si>
  <si>
    <t>ORD-5735</t>
  </si>
  <si>
    <t>C2088</t>
  </si>
  <si>
    <t>ORD-5736</t>
  </si>
  <si>
    <t>ORD-5737</t>
  </si>
  <si>
    <t>ORD-5738</t>
  </si>
  <si>
    <t>ORD-5739</t>
  </si>
  <si>
    <t>ORD-5740</t>
  </si>
  <si>
    <t>ORD-5741</t>
  </si>
  <si>
    <t>ORD-5742</t>
  </si>
  <si>
    <t>ORD-5743</t>
  </si>
  <si>
    <t>C2278</t>
  </si>
  <si>
    <t>ORD-5744</t>
  </si>
  <si>
    <t>ORD-5745</t>
  </si>
  <si>
    <t>C2437</t>
  </si>
  <si>
    <t>ORD-5746</t>
  </si>
  <si>
    <t>C2450</t>
  </si>
  <si>
    <t>ORD-5747</t>
  </si>
  <si>
    <t>ORD-5748</t>
  </si>
  <si>
    <t>ORD-5749</t>
  </si>
  <si>
    <t>ORD-5750</t>
  </si>
  <si>
    <t>ORD-5751</t>
  </si>
  <si>
    <t>ORD-5752</t>
  </si>
  <si>
    <t>ORD-5753</t>
  </si>
  <si>
    <t>ORD-5754</t>
  </si>
  <si>
    <t>ORD-5755</t>
  </si>
  <si>
    <t>ORD-5756</t>
  </si>
  <si>
    <t>C2040</t>
  </si>
  <si>
    <t>ORD-5757</t>
  </si>
  <si>
    <t>C2196</t>
  </si>
  <si>
    <t>ORD-5758</t>
  </si>
  <si>
    <t>ORD-5759</t>
  </si>
  <si>
    <t>ORD-5760</t>
  </si>
  <si>
    <t>ORD-5761</t>
  </si>
  <si>
    <t>ORD-5762</t>
  </si>
  <si>
    <t>ORD-5763</t>
  </si>
  <si>
    <t>ORD-5764</t>
  </si>
  <si>
    <t>ORD-5765</t>
  </si>
  <si>
    <t>ORD-5766</t>
  </si>
  <si>
    <t>ORD-5767</t>
  </si>
  <si>
    <t>C2307</t>
  </si>
  <si>
    <t>ORD-5768</t>
  </si>
  <si>
    <t>ORD-5769</t>
  </si>
  <si>
    <t>C2249</t>
  </si>
  <si>
    <t>ORD-5770</t>
  </si>
  <si>
    <t>C2155</t>
  </si>
  <si>
    <t>ORD-5771</t>
  </si>
  <si>
    <t>ORD-5772</t>
  </si>
  <si>
    <t>ORD-5773</t>
  </si>
  <si>
    <t>ORD-5774</t>
  </si>
  <si>
    <t>ORD-5775</t>
  </si>
  <si>
    <t>ORD-5776</t>
  </si>
  <si>
    <t>ORD-5777</t>
  </si>
  <si>
    <t>ORD-5778</t>
  </si>
  <si>
    <t>ORD-5779</t>
  </si>
  <si>
    <t>ORD-5780</t>
  </si>
  <si>
    <t>ORD-5781</t>
  </si>
  <si>
    <t>C2216</t>
  </si>
  <si>
    <t>ORD-5782</t>
  </si>
  <si>
    <t>C2108</t>
  </si>
  <si>
    <t>ORD-5783</t>
  </si>
  <si>
    <t>ORD-5784</t>
  </si>
  <si>
    <t>C2282</t>
  </si>
  <si>
    <t>ORD-5785</t>
  </si>
  <si>
    <t>ORD-5786</t>
  </si>
  <si>
    <t>ORD-5787</t>
  </si>
  <si>
    <t>ORD-5788</t>
  </si>
  <si>
    <t>ORD-5789</t>
  </si>
  <si>
    <t>ORD-5790</t>
  </si>
  <si>
    <t>C2344</t>
  </si>
  <si>
    <t>ORD-5791</t>
  </si>
  <si>
    <t>ORD-5792</t>
  </si>
  <si>
    <t>ORD-5793</t>
  </si>
  <si>
    <t>ORD-5794</t>
  </si>
  <si>
    <t>ORD-5795</t>
  </si>
  <si>
    <t>ORD-5796</t>
  </si>
  <si>
    <t>ORD-5797</t>
  </si>
  <si>
    <t>ORD-5798</t>
  </si>
  <si>
    <t>ORD-5799</t>
  </si>
  <si>
    <t>ORD-5800</t>
  </si>
  <si>
    <t>ORD-5801</t>
  </si>
  <si>
    <t>ORD-5802</t>
  </si>
  <si>
    <t>ORD-5803</t>
  </si>
  <si>
    <t>C2341</t>
  </si>
  <si>
    <t>ORD-5804</t>
  </si>
  <si>
    <t>ORD-5805</t>
  </si>
  <si>
    <t>ORD-5806</t>
  </si>
  <si>
    <t>ORD-5807</t>
  </si>
  <si>
    <t>C2430</t>
  </si>
  <si>
    <t>ORD-5808</t>
  </si>
  <si>
    <t>ORD-5809</t>
  </si>
  <si>
    <t>ORD-5810</t>
  </si>
  <si>
    <t>ORD-5811</t>
  </si>
  <si>
    <t>ORD-5812</t>
  </si>
  <si>
    <t>ORD-5813</t>
  </si>
  <si>
    <t>ORD-5814</t>
  </si>
  <si>
    <t>C2106</t>
  </si>
  <si>
    <t>ORD-5815</t>
  </si>
  <si>
    <t>C2323</t>
  </si>
  <si>
    <t>ORD-5816</t>
  </si>
  <si>
    <t>C2209</t>
  </si>
  <si>
    <t>ORD-5817</t>
  </si>
  <si>
    <t>ORD-5818</t>
  </si>
  <si>
    <t>ORD-5819</t>
  </si>
  <si>
    <t>ORD-5820</t>
  </si>
  <si>
    <t>ORD-5821</t>
  </si>
  <si>
    <t>ORD-5822</t>
  </si>
  <si>
    <t>ORD-5823</t>
  </si>
  <si>
    <t>ORD-5824</t>
  </si>
  <si>
    <t>ORD-5825</t>
  </si>
  <si>
    <t>ORD-5826</t>
  </si>
  <si>
    <t>ORD-5827</t>
  </si>
  <si>
    <t>C2156</t>
  </si>
  <si>
    <t>ORD-5828</t>
  </si>
  <si>
    <t>ORD-5829</t>
  </si>
  <si>
    <t>ORD-5830</t>
  </si>
  <si>
    <t>ORD-5831</t>
  </si>
  <si>
    <t>ORD-5832</t>
  </si>
  <si>
    <t>ORD-5833</t>
  </si>
  <si>
    <t>ORD-5834</t>
  </si>
  <si>
    <t>ORD-5835</t>
  </si>
  <si>
    <t>ORD-5836</t>
  </si>
  <si>
    <t>C2224</t>
  </si>
  <si>
    <t>ORD-5837</t>
  </si>
  <si>
    <t>ORD-5838</t>
  </si>
  <si>
    <t>C2014</t>
  </si>
  <si>
    <t>ORD-5839</t>
  </si>
  <si>
    <t>ORD-5840</t>
  </si>
  <si>
    <t>C2371</t>
  </si>
  <si>
    <t>ORD-5841</t>
  </si>
  <si>
    <t>ORD-5842</t>
  </si>
  <si>
    <t>ORD-5843</t>
  </si>
  <si>
    <t>C2391</t>
  </si>
  <si>
    <t>ORD-5844</t>
  </si>
  <si>
    <t>ORD-5845</t>
  </si>
  <si>
    <t>ORD-5846</t>
  </si>
  <si>
    <t>ORD-5847</t>
  </si>
  <si>
    <t>ORD-5848</t>
  </si>
  <si>
    <t>ORD-5849</t>
  </si>
  <si>
    <t>ORD-5850</t>
  </si>
  <si>
    <t>ORD-5851</t>
  </si>
  <si>
    <t>ORD-5852</t>
  </si>
  <si>
    <t>ORD-5853</t>
  </si>
  <si>
    <t>ORD-5854</t>
  </si>
  <si>
    <t>C2238</t>
  </si>
  <si>
    <t>ORD-5855</t>
  </si>
  <si>
    <t>ORD-5856</t>
  </si>
  <si>
    <t>C2272</t>
  </si>
  <si>
    <t>ORD-5857</t>
  </si>
  <si>
    <t>ORD-5858</t>
  </si>
  <si>
    <t>ORD-5859</t>
  </si>
  <si>
    <t>ORD-5860</t>
  </si>
  <si>
    <t>ORD-5861</t>
  </si>
  <si>
    <t>ORD-5862</t>
  </si>
  <si>
    <t>ORD-5863</t>
  </si>
  <si>
    <t>ORD-5864</t>
  </si>
  <si>
    <t>ORD-5865</t>
  </si>
  <si>
    <t>ORD-5866</t>
  </si>
  <si>
    <t>C2114</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</si>
  <si>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</si>
  <si>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</si>
  <si>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</si>
  <si>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</si>
  <si>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</si>
  <si>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</si>
  <si>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</si>
  <si>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</si>
  <si>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</si>
  <si>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</si>
  <si>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</si>
  <si>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</si>
  <si>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</si>
  <si>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</si>
  <si>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</si>
  <si>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</si>
  <si>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</si>
  <si>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C2463</t>
  </si>
  <si>
    <t>ORD-5884</t>
  </si>
  <si>
    <t>C2157</t>
  </si>
  <si>
    <t>ORD-5885</t>
  </si>
  <si>
    <t>ORD-5886</t>
  </si>
  <si>
    <t>ORD-5887</t>
  </si>
  <si>
    <t>ORD-5888</t>
  </si>
  <si>
    <t>ORD-5889</t>
  </si>
  <si>
    <t>ORD-5890</t>
  </si>
  <si>
    <t>ORD-5891</t>
  </si>
  <si>
    <t>ORD-5892</t>
  </si>
  <si>
    <t>ORD-5893</t>
  </si>
  <si>
    <t>ORD-5894</t>
  </si>
  <si>
    <t>ORD-5895</t>
  </si>
  <si>
    <t>ORD-5896</t>
  </si>
  <si>
    <t>C2178</t>
  </si>
  <si>
    <t>ORD-5897</t>
  </si>
  <si>
    <t>C2250</t>
  </si>
  <si>
    <t>ORD-5898</t>
  </si>
  <si>
    <t>ORD-5899</t>
  </si>
  <si>
    <t>C2153</t>
  </si>
  <si>
    <t>ORD-5900</t>
  </si>
  <si>
    <t>C2248</t>
  </si>
  <si>
    <t>ORD-5901</t>
  </si>
  <si>
    <t>ORD-5902</t>
  </si>
  <si>
    <t>ORD-5903</t>
  </si>
  <si>
    <t>ORD-5904</t>
  </si>
  <si>
    <t>ORD-5905</t>
  </si>
  <si>
    <t>ORD-5906</t>
  </si>
  <si>
    <t>ORD-5907</t>
  </si>
  <si>
    <t>ORD-5908</t>
  </si>
  <si>
    <t>ORD-5909</t>
  </si>
  <si>
    <t>ORD-5910</t>
  </si>
  <si>
    <t>ORD-5911</t>
  </si>
  <si>
    <t>ORD-5912</t>
  </si>
  <si>
    <t>ORD-5913</t>
  </si>
  <si>
    <t>ORD-5914</t>
  </si>
  <si>
    <t>C2223</t>
  </si>
  <si>
    <t>ORD-5915</t>
  </si>
  <si>
    <t>ORD-5916</t>
  </si>
  <si>
    <t>ORD-5917</t>
  </si>
  <si>
    <t>C2349</t>
  </si>
  <si>
    <t>ORD-5918</t>
  </si>
  <si>
    <t>ORD-5919</t>
  </si>
  <si>
    <t>C2286</t>
  </si>
  <si>
    <t>ORD-5920</t>
  </si>
  <si>
    <t>ORD-5921</t>
  </si>
  <si>
    <t>ORD-5922</t>
  </si>
  <si>
    <t>C2260</t>
  </si>
  <si>
    <t>ORD-5923</t>
  </si>
  <si>
    <t>ORD-5924</t>
  </si>
  <si>
    <t>C2480</t>
  </si>
  <si>
    <t>ORD-5925</t>
  </si>
  <si>
    <t>ORD-5926</t>
  </si>
  <si>
    <t>ORD-5927</t>
  </si>
  <si>
    <t>ORD-5928</t>
  </si>
  <si>
    <t>C2299</t>
  </si>
  <si>
    <t>ORD-5929</t>
  </si>
  <si>
    <t>ORD-5930</t>
  </si>
  <si>
    <t>C2170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</si>
  <si>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</si>
  <si>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</si>
  <si>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</si>
  <si>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</si>
  <si>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</si>
  <si>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</si>
  <si>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</si>
  <si>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</si>
  <si>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</si>
  <si>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</si>
  <si>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</si>
  <si>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</si>
  <si>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</si>
  <si>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</si>
  <si>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</si>
  <si>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</si>
  <si>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</si>
  <si>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</si>
  <si>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C2411</t>
  </si>
  <si>
    <t>ORD-5949</t>
  </si>
  <si>
    <t>ORD-5950</t>
  </si>
  <si>
    <t>ORD-5951</t>
  </si>
  <si>
    <t>ORD-5952</t>
  </si>
  <si>
    <t>C2393</t>
  </si>
  <si>
    <t>ORD-5953</t>
  </si>
  <si>
    <t>ORD-5954</t>
  </si>
  <si>
    <t>ORD-5955</t>
  </si>
  <si>
    <t>ORD-5956</t>
  </si>
  <si>
    <t>ORD-5957</t>
  </si>
  <si>
    <t>ORD-5958</t>
  </si>
  <si>
    <t>ORD-5959</t>
  </si>
  <si>
    <t>ORD-5960</t>
  </si>
  <si>
    <t>ORD-5961</t>
  </si>
  <si>
    <t>ORD-5962</t>
  </si>
  <si>
    <t>ORD-5963</t>
  </si>
  <si>
    <t>ORD-5964</t>
  </si>
  <si>
    <t>C2057</t>
  </si>
  <si>
    <t>ORD-5965</t>
  </si>
  <si>
    <t>ORD-5966</t>
  </si>
  <si>
    <t>ORD-5967</t>
  </si>
  <si>
    <t>ORD-5968</t>
  </si>
  <si>
    <t>C2485</t>
  </si>
  <si>
    <t>ORD-5969</t>
  </si>
  <si>
    <t>C2345</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</si>
  <si>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</si>
  <si>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</si>
  <si>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</si>
  <si>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</si>
  <si>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</si>
  <si>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</si>
  <si>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</si>
  <si>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</si>
  <si>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</si>
  <si>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</si>
  <si>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</si>
  <si>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</si>
  <si>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</si>
  <si>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</si>
  <si>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</si>
  <si>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</si>
  <si>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</si>
  <si>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</si>
  <si>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</si>
  <si>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</si>
  <si>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</si>
  <si>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</si>
  <si>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</si>
  <si>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</si>
  <si>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</si>
  <si>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C2446</t>
  </si>
  <si>
    <t>ORD-5995</t>
  </si>
  <si>
    <t>ORD-5996</t>
  </si>
  <si>
    <t>C2462</t>
  </si>
  <si>
    <t>ORD-5997</t>
  </si>
  <si>
    <t>ORD-5998</t>
  </si>
  <si>
    <t>C2077</t>
  </si>
  <si>
    <t>ORD-5999</t>
  </si>
  <si>
    <t>ORD-6000</t>
  </si>
  <si>
    <t>Profit</t>
  </si>
  <si>
    <t>Sum of TotalSale</t>
  </si>
  <si>
    <t>Row Labels</t>
  </si>
  <si>
    <t>Sum of Profit</t>
  </si>
  <si>
    <t>Ordermonth</t>
  </si>
  <si>
    <t>Orderyear</t>
  </si>
  <si>
    <t>OrderDay</t>
  </si>
  <si>
    <t>Grand Total</t>
  </si>
  <si>
    <t>October</t>
  </si>
  <si>
    <t>March</t>
  </si>
  <si>
    <t>May</t>
  </si>
  <si>
    <t>January</t>
  </si>
  <si>
    <t>February</t>
  </si>
  <si>
    <t>December</t>
  </si>
  <si>
    <t>April</t>
  </si>
  <si>
    <t>June</t>
  </si>
  <si>
    <t>July</t>
  </si>
  <si>
    <t>August</t>
  </si>
  <si>
    <t>November</t>
  </si>
  <si>
    <t>September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</si>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</sst>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22"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lumMod val="40000"/>
              <a:lumOff val="60000"/>
            </a:schemeClr>
          </a:solidFill>
          <a:ln>
            <a:noFill/>
          </a:ln>
          <a:effectLst/>
        </c:spPr>
      </c:pivotFmt>
      <c:pivotFmt>
        <c:idx val="11"/>
        <c:spPr>
          <a:solidFill>
            <a:srgbClr val="FFC000"/>
          </a:solidFill>
          <a:ln>
            <a:noFill/>
          </a:ln>
          <a:effectLst/>
        </c:spPr>
      </c:pivotFmt>
    </c:pivotFmts>
    <c:plotArea>
      <c:layout/>
      <c:pieChart>
        <c:varyColors val="1"/>
        <c:ser>
          <c:idx val="0"/>
          <c:order val="0"/>
          <c:tx>
            <c:strRef>
              <c:f>Sheet2!$C$9</c:f>
              <c:strCache>
                <c:ptCount val="1"/>
                <c:pt idx="0">
                  <c:v>Total</c:v>
                </c:pt>
              </c:strCache>
            </c:strRef>
          </c:tx>
          <c:dPt>
            <c:idx val="0"/>
            <c:bubble3D val="0"/>
            <c:spPr>
              <a:solidFill>
                <a:srgbClr val="FFC000"/>
              </a:solidFill>
              <a:ln>
                <a:noFill/>
              </a:ln>
              <a:effectLst/>
            </c:spPr>
            <c:extLst>
              <c:ext xmlns:c16="http://schemas.microsoft.com/office/drawing/2014/chart" uri="{C3380CC4-5D6E-409C-BE32-E72D297353CC}">
                <c16:uniqueId val="{00000001-1A5D-4BB1-BACE-8E61AF35BEDB}"/>
              </c:ext>
            </c:extLst>
          </c:dPt>
          <c:dPt>
            <c:idx val="1"/>
            <c:bubble3D val="0"/>
            <c:spPr>
              <a:solidFill>
                <a:schemeClr val="accent2"/>
              </a:solidFill>
              <a:ln>
                <a:noFill/>
              </a:ln>
              <a:effectLst/>
            </c:spPr>
            <c:extLst>
              <c:ext xmlns:c16="http://schemas.microsoft.com/office/drawing/2014/chart" uri="{C3380CC4-5D6E-409C-BE32-E72D297353CC}">
                <c16:uniqueId val="{00000003-1A5D-4BB1-BACE-8E61AF35BEDB}"/>
              </c:ext>
            </c:extLst>
          </c:dPt>
          <c:dPt>
            <c:idx val="2"/>
            <c:bubble3D val="0"/>
            <c:spPr>
              <a:solidFill>
                <a:schemeClr val="accent3"/>
              </a:solidFill>
              <a:ln>
                <a:noFill/>
              </a:ln>
              <a:effectLst/>
            </c:spPr>
            <c:extLst>
              <c:ext xmlns:c16="http://schemas.microsoft.com/office/drawing/2014/chart" uri="{C3380CC4-5D6E-409C-BE32-E72D297353CC}">
                <c16:uniqueId val="{00000005-1A5D-4BB1-BACE-8E61AF35BEDB}"/>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07-1A5D-4BB1-BACE-8E61AF35BE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Sheet2!$B$10:$B$14</c:f>
              <c:strCache>
                <c:ptCount val="4"/>
                <c:pt idx="0">
                  <c:v>East</c:v>
                </c:pt>
                <c:pt idx="1">
                  <c:v>North</c:v>
                </c:pt>
                <c:pt idx="2">
                  <c:v>South</c:v>
                </c:pt>
                <c:pt idx="3">
                  <c:v>West</c:v>
                </c:pt>
              </c:strCache>
            </c:strRef>
          </c:cat>
          <c:val>
            <c:numRef>
              <c:f>Sheet2!$C$10:$C$14</c:f>
              <c:numCache>
                <c:formatCode>General</c:formatCode>
                <c:ptCount val="4"/>
                <c:pt idx="0">
                  <c:v>121555.52</c:v>
                </c:pt>
                <c:pt idx="1">
                  <c:v>106076.20000000001</c:v>
                </c:pt>
                <c:pt idx="2">
                  <c:v>123664.09000000001</c:v>
                </c:pt>
                <c:pt idx="3">
                  <c:v>130176.22999999992</c:v>
                </c:pt>
              </c:numCache>
            </c:numRef>
          </c:val>
          <c:extLst>
            <c:ext xmlns:c16="http://schemas.microsoft.com/office/drawing/2014/chart" uri="{C3380CC4-5D6E-409C-BE32-E72D297353CC}">
              <c16:uniqueId val="{00000008-1A5D-4BB1-BACE-8E61AF35BED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Sheet2!$F$9</c:f>
              <c:strCache>
                <c:ptCount val="1"/>
                <c:pt idx="0">
                  <c:v>Total</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Sheet2!$E$10:$E$14</c:f>
              <c:strCache>
                <c:ptCount val="4"/>
                <c:pt idx="0">
                  <c:v>East</c:v>
                </c:pt>
                <c:pt idx="1">
                  <c:v>North</c:v>
                </c:pt>
                <c:pt idx="2">
                  <c:v>South</c:v>
                </c:pt>
                <c:pt idx="3">
                  <c:v>West</c:v>
                </c:pt>
              </c:strCache>
            </c:strRef>
          </c:cat>
          <c:val>
            <c:numRef>
              <c:f>Sheet2!$F$10:$F$14</c:f>
              <c:numCache>
                <c:formatCode>General</c:formatCode>
                <c:ptCount val="4"/>
                <c:pt idx="0">
                  <c:v>36466.655999999988</c:v>
                </c:pt>
                <c:pt idx="1">
                  <c:v>31822.860000000015</c:v>
                </c:pt>
                <c:pt idx="2">
                  <c:v>37099.227000000043</c:v>
                </c:pt>
                <c:pt idx="3">
                  <c:v>39052.868999999992</c:v>
                </c:pt>
              </c:numCache>
            </c:numRef>
          </c:val>
          <c:extLst>
            <c:ext xmlns:c16="http://schemas.microsoft.com/office/drawing/2014/chart" uri="{C3380CC4-5D6E-409C-BE32-E72D297353CC}">
              <c16:uniqueId val="{00000000-170A-4764-A54E-2079D23AE30C}"/>
            </c:ext>
          </c:extLst>
        </c:ser>
        <c:dLbls>
          <c:showLegendKey val="0"/>
          <c:showVal val="1"/>
          <c:showCatName val="0"/>
          <c:showSerName val="0"/>
          <c:showPercent val="0"/>
          <c:showBubbleSize val="0"/>
        </c:dLbls>
        <c:gapWidth val="150"/>
        <c:shape val="box"/>
        <c:axId val="480086480"/>
        <c:axId val="480084560"/>
        <c:axId val="0"/>
      </c:bar3DChart>
      <c:catAx>
        <c:axId val="480086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084560"/>
        <c:crosses val="autoZero"/>
        <c:auto val="1"/>
        <c:lblAlgn val="ctr"/>
        <c:lblOffset val="100"/>
        <c:noMultiLvlLbl val="0"/>
      </c:catAx>
      <c:valAx>
        <c:axId val="48008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08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682612786609234E-2"/>
          <c:y val="0.33007312213063661"/>
          <c:w val="0.62215049769722186"/>
          <c:h val="0.52864710891071731"/>
        </c:manualLayout>
      </c:layout>
      <c:pie3DChart>
        <c:varyColors val="1"/>
        <c:ser>
          <c:idx val="0"/>
          <c:order val="0"/>
          <c:tx>
            <c:strRef>
              <c:f>Sheet2!$I$9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22C-4231-8E61-CF7580566A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22C-4231-8E61-CF7580566A9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22C-4231-8E61-CF7580566A9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22C-4231-8E61-CF7580566A9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22C-4231-8E61-CF7580566A9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22C-4231-8E61-CF7580566A9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22C-4231-8E61-CF7580566A9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22C-4231-8E61-CF7580566A9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F22C-4231-8E61-CF7580566A9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F22C-4231-8E61-CF7580566A9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F22C-4231-8E61-CF7580566A9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F22C-4231-8E61-CF7580566A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Sheet2!$H$10:$H$21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Sheet2!$I$10:$I$21</c:f>
              <c:numCache>
                <c:formatCode>General</c:formatCode>
                <c:ptCount val="12"/>
                <c:pt idx="0">
                  <c:v>49652.479999999996</c:v>
                </c:pt>
                <c:pt idx="1">
                  <c:v>35177.65</c:v>
                </c:pt>
                <c:pt idx="2">
                  <c:v>41182.280000000021</c:v>
                </c:pt>
                <c:pt idx="3">
                  <c:v>44208.340000000004</c:v>
                </c:pt>
                <c:pt idx="4">
                  <c:v>33515.86</c:v>
                </c:pt>
                <c:pt idx="5">
                  <c:v>40579.550000000003</c:v>
                </c:pt>
                <c:pt idx="6">
                  <c:v>33858.37999999999</c:v>
                </c:pt>
                <c:pt idx="7">
                  <c:v>36601.919999999991</c:v>
                </c:pt>
                <c:pt idx="8">
                  <c:v>44424.94</c:v>
                </c:pt>
                <c:pt idx="9">
                  <c:v>42098.94999999999</c:v>
                </c:pt>
                <c:pt idx="10">
                  <c:v>39657.289999999986</c:v>
                </c:pt>
                <c:pt idx="11">
                  <c:v>40514.399999999994</c:v>
                </c:pt>
              </c:numCache>
            </c:numRef>
          </c:val>
          <c:extLst>
            <c:ext xmlns:c16="http://schemas.microsoft.com/office/drawing/2014/chart" uri="{C3380CC4-5D6E-409C-BE32-E72D297353CC}">
              <c16:uniqueId val="{00000018-F22C-4231-8E61-CF7580566A9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profit</a:t>
            </a:r>
            <a:r>
              <a:rPr lang="en-US" baseline="0"/>
              <a:t> by Month</a:t>
            </a:r>
          </a:p>
        </c:rich>
      </c:tx>
      <c:layout>
        <c:manualLayout>
          <c:xMode val="edge"/>
          <c:yMode val="edge"/>
          <c:x val="0.28535422593133941"/>
          <c:y val="3.7414611253063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511355242271363"/>
          <c:y val="0.18139915871443218"/>
          <c:w val="0.7760916487235503"/>
          <c:h val="0.51707861848394776"/>
        </c:manualLayout>
      </c:layout>
      <c:lineChart>
        <c:grouping val="standard"/>
        <c:varyColors val="0"/>
        <c:ser>
          <c:idx val="0"/>
          <c:order val="0"/>
          <c:tx>
            <c:strRef>
              <c:f>Sheet2!$L$9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Sheet2!$K$10:$K$21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Sheet2!$L$10:$L$21</c:f>
              <c:numCache>
                <c:formatCode>General</c:formatCode>
                <c:ptCount val="12"/>
                <c:pt idx="0">
                  <c:v>14895.743999999999</c:v>
                </c:pt>
                <c:pt idx="1">
                  <c:v>10553.295000000002</c:v>
                </c:pt>
                <c:pt idx="2">
                  <c:v>12354.683999999992</c:v>
                </c:pt>
                <c:pt idx="3">
                  <c:v>13262.501999999997</c:v>
                </c:pt>
                <c:pt idx="4">
                  <c:v>10054.758000000003</c:v>
                </c:pt>
                <c:pt idx="5">
                  <c:v>12173.864999999998</c:v>
                </c:pt>
                <c:pt idx="6">
                  <c:v>10157.513999999997</c:v>
                </c:pt>
                <c:pt idx="7">
                  <c:v>10980.576000000001</c:v>
                </c:pt>
                <c:pt idx="8">
                  <c:v>13327.482</c:v>
                </c:pt>
                <c:pt idx="9">
                  <c:v>12629.685000000001</c:v>
                </c:pt>
                <c:pt idx="10">
                  <c:v>11897.186999999998</c:v>
                </c:pt>
                <c:pt idx="11">
                  <c:v>12154.320000000002</c:v>
                </c:pt>
              </c:numCache>
            </c:numRef>
          </c:val>
          <c:smooth val="0"/>
          <c:extLst>
            <c:ext xmlns:c16="http://schemas.microsoft.com/office/drawing/2014/chart" uri="{C3380CC4-5D6E-409C-BE32-E72D297353CC}">
              <c16:uniqueId val="{00000000-C5E3-4997-B0A6-9E739C6B4FB9}"/>
            </c:ext>
          </c:extLst>
        </c:ser>
        <c:dLbls>
          <c:showLegendKey val="0"/>
          <c:showVal val="0"/>
          <c:showCatName val="0"/>
          <c:showSerName val="0"/>
          <c:showPercent val="0"/>
          <c:showBubbleSize val="0"/>
        </c:dLbls>
        <c:marker val="1"/>
        <c:smooth val="0"/>
        <c:axId val="1878374064"/>
        <c:axId val="1878374544"/>
      </c:lineChart>
      <c:catAx>
        <c:axId val="1878374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74544"/>
        <c:crosses val="autoZero"/>
        <c:auto val="1"/>
        <c:lblAlgn val="ctr"/>
        <c:lblOffset val="100"/>
        <c:noMultiLvlLbl val="0"/>
      </c:catAx>
      <c:valAx>
        <c:axId val="187837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740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by year for Region</a:t>
            </a:r>
            <a:endParaRPr lang="en-US"/>
          </a:p>
        </c:rich>
      </c:tx>
      <c:layout>
        <c:manualLayout>
          <c:xMode val="edge"/>
          <c:yMode val="edge"/>
          <c:x val="0.30539719546229904"/>
          <c:y val="1.6581364829396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3233206960241"/>
          <c:y val="0.2649854788861451"/>
          <c:w val="0.66619495479731705"/>
          <c:h val="0.50702371523086243"/>
        </c:manualLayout>
      </c:layout>
      <c:barChart>
        <c:barDir val="bar"/>
        <c:grouping val="clustered"/>
        <c:varyColors val="0"/>
        <c:ser>
          <c:idx val="0"/>
          <c:order val="0"/>
          <c:tx>
            <c:strRef>
              <c:f>Sheet2!$R$9:$R$10</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Sheet2!$Q$11:$Q$13</c:f>
              <c:strCache>
                <c:ptCount val="2"/>
                <c:pt idx="0">
                  <c:v>2024</c:v>
                </c:pt>
                <c:pt idx="1">
                  <c:v>2025</c:v>
                </c:pt>
              </c:strCache>
            </c:strRef>
          </c:cat>
          <c:val>
            <c:numRef>
              <c:f>Sheet2!$R$11:$R$13</c:f>
              <c:numCache>
                <c:formatCode>General</c:formatCode>
                <c:ptCount val="2"/>
                <c:pt idx="0">
                  <c:v>16114.608000000002</c:v>
                </c:pt>
                <c:pt idx="1">
                  <c:v>20352.047999999999</c:v>
                </c:pt>
              </c:numCache>
            </c:numRef>
          </c:val>
          <c:extLst>
            <c:ext xmlns:c16="http://schemas.microsoft.com/office/drawing/2014/chart" uri="{C3380CC4-5D6E-409C-BE32-E72D297353CC}">
              <c16:uniqueId val="{00000000-F410-491B-AFFF-E63055D58A82}"/>
            </c:ext>
          </c:extLst>
        </c:ser>
        <c:ser>
          <c:idx val="1"/>
          <c:order val="1"/>
          <c:tx>
            <c:strRef>
              <c:f>Sheet2!$S$9:$S$10</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Sheet2!$Q$11:$Q$13</c:f>
              <c:strCache>
                <c:ptCount val="2"/>
                <c:pt idx="0">
                  <c:v>2024</c:v>
                </c:pt>
                <c:pt idx="1">
                  <c:v>2025</c:v>
                </c:pt>
              </c:strCache>
            </c:strRef>
          </c:cat>
          <c:val>
            <c:numRef>
              <c:f>Sheet2!$S$11:$S$13</c:f>
              <c:numCache>
                <c:formatCode>General</c:formatCode>
                <c:ptCount val="2"/>
                <c:pt idx="0">
                  <c:v>16724.418000000005</c:v>
                </c:pt>
                <c:pt idx="1">
                  <c:v>15098.442000000005</c:v>
                </c:pt>
              </c:numCache>
            </c:numRef>
          </c:val>
          <c:extLst>
            <c:ext xmlns:c16="http://schemas.microsoft.com/office/drawing/2014/chart" uri="{C3380CC4-5D6E-409C-BE32-E72D297353CC}">
              <c16:uniqueId val="{00000001-E6F3-4A9F-AF46-8EDDFF6AF45E}"/>
            </c:ext>
          </c:extLst>
        </c:ser>
        <c:ser>
          <c:idx val="2"/>
          <c:order val="2"/>
          <c:tx>
            <c:strRef>
              <c:f>Sheet2!$T$9:$T$10</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Sheet2!$Q$11:$Q$13</c:f>
              <c:strCache>
                <c:ptCount val="2"/>
                <c:pt idx="0">
                  <c:v>2024</c:v>
                </c:pt>
                <c:pt idx="1">
                  <c:v>2025</c:v>
                </c:pt>
              </c:strCache>
            </c:strRef>
          </c:cat>
          <c:val>
            <c:numRef>
              <c:f>Sheet2!$T$11:$T$13</c:f>
              <c:numCache>
                <c:formatCode>General</c:formatCode>
                <c:ptCount val="2"/>
                <c:pt idx="0">
                  <c:v>18261.291000000001</c:v>
                </c:pt>
                <c:pt idx="1">
                  <c:v>18837.936000000002</c:v>
                </c:pt>
              </c:numCache>
            </c:numRef>
          </c:val>
          <c:extLst>
            <c:ext xmlns:c16="http://schemas.microsoft.com/office/drawing/2014/chart" uri="{C3380CC4-5D6E-409C-BE32-E72D297353CC}">
              <c16:uniqueId val="{00000002-E6F3-4A9F-AF46-8EDDFF6AF45E}"/>
            </c:ext>
          </c:extLst>
        </c:ser>
        <c:ser>
          <c:idx val="3"/>
          <c:order val="3"/>
          <c:tx>
            <c:strRef>
              <c:f>Sheet2!$U$9:$U$10</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Sheet2!$Q$11:$Q$13</c:f>
              <c:strCache>
                <c:ptCount val="2"/>
                <c:pt idx="0">
                  <c:v>2024</c:v>
                </c:pt>
                <c:pt idx="1">
                  <c:v>2025</c:v>
                </c:pt>
              </c:strCache>
            </c:strRef>
          </c:cat>
          <c:val>
            <c:numRef>
              <c:f>Sheet2!$U$11:$U$13</c:f>
              <c:numCache>
                <c:formatCode>General</c:formatCode>
                <c:ptCount val="2"/>
                <c:pt idx="0">
                  <c:v>18383.534999999996</c:v>
                </c:pt>
                <c:pt idx="1">
                  <c:v>20669.333999999999</c:v>
                </c:pt>
              </c:numCache>
            </c:numRef>
          </c:val>
          <c:extLst>
            <c:ext xmlns:c16="http://schemas.microsoft.com/office/drawing/2014/chart" uri="{C3380CC4-5D6E-409C-BE32-E72D297353CC}">
              <c16:uniqueId val="{00000003-E6F3-4A9F-AF46-8EDDFF6AF45E}"/>
            </c:ext>
          </c:extLst>
        </c:ser>
        <c:dLbls>
          <c:dLblPos val="outEnd"/>
          <c:showLegendKey val="0"/>
          <c:showVal val="1"/>
          <c:showCatName val="0"/>
          <c:showSerName val="0"/>
          <c:showPercent val="0"/>
          <c:showBubbleSize val="0"/>
        </c:dLbls>
        <c:gapWidth val="182"/>
        <c:axId val="904575375"/>
        <c:axId val="904572015"/>
      </c:barChart>
      <c:catAx>
        <c:axId val="90457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72015"/>
        <c:crosses val="autoZero"/>
        <c:auto val="1"/>
        <c:lblAlgn val="ctr"/>
        <c:lblOffset val="100"/>
        <c:noMultiLvlLbl val="0"/>
      </c:catAx>
      <c:valAx>
        <c:axId val="904572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7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Year for Region</a:t>
            </a:r>
            <a:endParaRPr lang="en-IN"/>
          </a:p>
        </c:rich>
      </c:tx>
      <c:layout>
        <c:manualLayout>
          <c:xMode val="edge"/>
          <c:yMode val="edge"/>
          <c:x val="0.27385922857908657"/>
          <c:y val="3.9125544089597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1731626032295"/>
          <c:y val="0.26985865897197636"/>
          <c:w val="0.53467854090493028"/>
          <c:h val="0.5425816338175119"/>
        </c:manualLayout>
      </c:layout>
      <c:barChart>
        <c:barDir val="bar"/>
        <c:grouping val="clustered"/>
        <c:varyColors val="0"/>
        <c:ser>
          <c:idx val="0"/>
          <c:order val="0"/>
          <c:tx>
            <c:strRef>
              <c:f>Sheet2!$O$17:$O$18</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Sheet2!$N$19:$N$21</c:f>
              <c:strCache>
                <c:ptCount val="2"/>
                <c:pt idx="0">
                  <c:v>2024</c:v>
                </c:pt>
                <c:pt idx="1">
                  <c:v>2025</c:v>
                </c:pt>
              </c:strCache>
            </c:strRef>
          </c:cat>
          <c:val>
            <c:numRef>
              <c:f>Sheet2!$O$19:$O$21</c:f>
              <c:numCache>
                <c:formatCode>General</c:formatCode>
                <c:ptCount val="2"/>
                <c:pt idx="0">
                  <c:v>53715.360000000001</c:v>
                </c:pt>
                <c:pt idx="1">
                  <c:v>67840.160000000033</c:v>
                </c:pt>
              </c:numCache>
            </c:numRef>
          </c:val>
          <c:extLst>
            <c:ext xmlns:c16="http://schemas.microsoft.com/office/drawing/2014/chart" uri="{C3380CC4-5D6E-409C-BE32-E72D297353CC}">
              <c16:uniqueId val="{00000000-145B-4987-B60D-7A13E2D49F9F}"/>
            </c:ext>
          </c:extLst>
        </c:ser>
        <c:ser>
          <c:idx val="1"/>
          <c:order val="1"/>
          <c:tx>
            <c:strRef>
              <c:f>Sheet2!$P$17:$P$18</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Sheet2!$N$19:$N$21</c:f>
              <c:strCache>
                <c:ptCount val="2"/>
                <c:pt idx="0">
                  <c:v>2024</c:v>
                </c:pt>
                <c:pt idx="1">
                  <c:v>2025</c:v>
                </c:pt>
              </c:strCache>
            </c:strRef>
          </c:cat>
          <c:val>
            <c:numRef>
              <c:f>Sheet2!$P$19:$P$21</c:f>
              <c:numCache>
                <c:formatCode>General</c:formatCode>
                <c:ptCount val="2"/>
                <c:pt idx="0">
                  <c:v>55748.060000000005</c:v>
                </c:pt>
                <c:pt idx="1">
                  <c:v>50328.139999999985</c:v>
                </c:pt>
              </c:numCache>
            </c:numRef>
          </c:val>
          <c:extLst>
            <c:ext xmlns:c16="http://schemas.microsoft.com/office/drawing/2014/chart" uri="{C3380CC4-5D6E-409C-BE32-E72D297353CC}">
              <c16:uniqueId val="{00000001-145B-4987-B60D-7A13E2D49F9F}"/>
            </c:ext>
          </c:extLst>
        </c:ser>
        <c:ser>
          <c:idx val="2"/>
          <c:order val="2"/>
          <c:tx>
            <c:strRef>
              <c:f>Sheet2!$Q$17:$Q$18</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Sheet2!$N$19:$N$21</c:f>
              <c:strCache>
                <c:ptCount val="2"/>
                <c:pt idx="0">
                  <c:v>2024</c:v>
                </c:pt>
                <c:pt idx="1">
                  <c:v>2025</c:v>
                </c:pt>
              </c:strCache>
            </c:strRef>
          </c:cat>
          <c:val>
            <c:numRef>
              <c:f>Sheet2!$Q$19:$Q$21</c:f>
              <c:numCache>
                <c:formatCode>General</c:formatCode>
                <c:ptCount val="2"/>
                <c:pt idx="0">
                  <c:v>60870.97</c:v>
                </c:pt>
                <c:pt idx="1">
                  <c:v>62793.120000000017</c:v>
                </c:pt>
              </c:numCache>
            </c:numRef>
          </c:val>
          <c:extLst>
            <c:ext xmlns:c16="http://schemas.microsoft.com/office/drawing/2014/chart" uri="{C3380CC4-5D6E-409C-BE32-E72D297353CC}">
              <c16:uniqueId val="{00000002-145B-4987-B60D-7A13E2D49F9F}"/>
            </c:ext>
          </c:extLst>
        </c:ser>
        <c:ser>
          <c:idx val="3"/>
          <c:order val="3"/>
          <c:tx>
            <c:strRef>
              <c:f>Sheet2!$R$17:$R$18</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Sheet2!$N$19:$N$21</c:f>
              <c:strCache>
                <c:ptCount val="2"/>
                <c:pt idx="0">
                  <c:v>2024</c:v>
                </c:pt>
                <c:pt idx="1">
                  <c:v>2025</c:v>
                </c:pt>
              </c:strCache>
            </c:strRef>
          </c:cat>
          <c:val>
            <c:numRef>
              <c:f>Sheet2!$R$19:$R$21</c:f>
              <c:numCache>
                <c:formatCode>General</c:formatCode>
                <c:ptCount val="2"/>
                <c:pt idx="0">
                  <c:v>61278.449999999983</c:v>
                </c:pt>
                <c:pt idx="1">
                  <c:v>68897.78</c:v>
                </c:pt>
              </c:numCache>
            </c:numRef>
          </c:val>
          <c:extLst>
            <c:ext xmlns:c16="http://schemas.microsoft.com/office/drawing/2014/chart" uri="{C3380CC4-5D6E-409C-BE32-E72D297353CC}">
              <c16:uniqueId val="{00000003-145B-4987-B60D-7A13E2D49F9F}"/>
            </c:ext>
          </c:extLst>
        </c:ser>
        <c:dLbls>
          <c:dLblPos val="outEnd"/>
          <c:showLegendKey val="0"/>
          <c:showVal val="1"/>
          <c:showCatName val="0"/>
          <c:showSerName val="0"/>
          <c:showPercent val="0"/>
          <c:showBubbleSize val="0"/>
        </c:dLbls>
        <c:gapWidth val="182"/>
        <c:axId val="1351933775"/>
        <c:axId val="1351938095"/>
      </c:barChart>
      <c:catAx>
        <c:axId val="135193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38095"/>
        <c:crosses val="autoZero"/>
        <c:auto val="1"/>
        <c:lblAlgn val="ctr"/>
        <c:lblOffset val="100"/>
        <c:noMultiLvlLbl val="0"/>
      </c:catAx>
      <c:valAx>
        <c:axId val="1351938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3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Sheet2!$C$9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E77-4B72-86B2-F58965B0C566}"/>
              </c:ext>
            </c:extLst>
          </c:dPt>
          <c:dPt>
            <c:idx val="1"/>
            <c:bubble3D val="0"/>
            <c:spPr>
              <a:solidFill>
                <a:schemeClr val="accent2"/>
              </a:solidFill>
              <a:ln>
                <a:noFill/>
              </a:ln>
              <a:effectLst/>
            </c:spPr>
            <c:extLst>
              <c:ext xmlns:c16="http://schemas.microsoft.com/office/drawing/2014/chart" uri="{C3380CC4-5D6E-409C-BE32-E72D297353CC}">
                <c16:uniqueId val="{00000003-7E77-4B72-86B2-F58965B0C566}"/>
              </c:ext>
            </c:extLst>
          </c:dPt>
          <c:dPt>
            <c:idx val="2"/>
            <c:bubble3D val="0"/>
            <c:spPr>
              <a:solidFill>
                <a:schemeClr val="accent3"/>
              </a:solidFill>
              <a:ln>
                <a:noFill/>
              </a:ln>
              <a:effectLst/>
            </c:spPr>
            <c:extLst>
              <c:ext xmlns:c16="http://schemas.microsoft.com/office/drawing/2014/chart" uri="{C3380CC4-5D6E-409C-BE32-E72D297353CC}">
                <c16:uniqueId val="{00000005-7E77-4B72-86B2-F58965B0C566}"/>
              </c:ext>
            </c:extLst>
          </c:dPt>
          <c:dPt>
            <c:idx val="3"/>
            <c:bubble3D val="0"/>
            <c:spPr>
              <a:solidFill>
                <a:schemeClr val="accent4"/>
              </a:solidFill>
              <a:ln>
                <a:noFill/>
              </a:ln>
              <a:effectLst/>
            </c:spPr>
            <c:extLst>
              <c:ext xmlns:c16="http://schemas.microsoft.com/office/drawing/2014/chart" uri="{C3380CC4-5D6E-409C-BE32-E72D297353CC}">
                <c16:uniqueId val="{00000007-7E77-4B72-86B2-F58965B0C5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Sheet2!$B$10:$B$14</c:f>
              <c:strCache>
                <c:ptCount val="4"/>
                <c:pt idx="0">
                  <c:v>East</c:v>
                </c:pt>
                <c:pt idx="1">
                  <c:v>North</c:v>
                </c:pt>
                <c:pt idx="2">
                  <c:v>South</c:v>
                </c:pt>
                <c:pt idx="3">
                  <c:v>West</c:v>
                </c:pt>
              </c:strCache>
            </c:strRef>
          </c:cat>
          <c:val>
            <c:numRef>
              <c:f>Sheet2!$C$10:$C$14</c:f>
              <c:numCache>
                <c:formatCode>General</c:formatCode>
                <c:ptCount val="4"/>
                <c:pt idx="0">
                  <c:v>121555.52</c:v>
                </c:pt>
                <c:pt idx="1">
                  <c:v>106076.20000000001</c:v>
                </c:pt>
                <c:pt idx="2">
                  <c:v>123664.09000000001</c:v>
                </c:pt>
                <c:pt idx="3">
                  <c:v>130176.22999999992</c:v>
                </c:pt>
              </c:numCache>
            </c:numRef>
          </c:val>
          <c:extLst>
            <c:ext xmlns:c16="http://schemas.microsoft.com/office/drawing/2014/chart" uri="{C3380CC4-5D6E-409C-BE32-E72D297353CC}">
              <c16:uniqueId val="{00000000-6DD0-4580-AF84-706503E44B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Sheet2!$F$9</c:f>
              <c:strCache>
                <c:ptCount val="1"/>
                <c:pt idx="0">
                  <c:v>Total</c:v>
                </c:pt>
              </c:strCache>
            </c:strRef>
          </c:tx>
          <c:spPr>
            <a:solidFill>
              <a:schemeClr val="accent1"/>
            </a:solidFill>
            <a:ln>
              <a:noFill/>
            </a:ln>
            <a:effectLst/>
            <a:sp3d/>
          </c:spPr>
          <c:invertIfNegative val="0"/>
          <c:cat>
            <c:strRef>
              <c:f>Sheet2!$E$10:$E$14</c:f>
              <c:strCache>
                <c:ptCount val="4"/>
                <c:pt idx="0">
                  <c:v>East</c:v>
                </c:pt>
                <c:pt idx="1">
                  <c:v>North</c:v>
                </c:pt>
                <c:pt idx="2">
                  <c:v>South</c:v>
                </c:pt>
                <c:pt idx="3">
                  <c:v>West</c:v>
                </c:pt>
              </c:strCache>
            </c:strRef>
          </c:cat>
          <c:val>
            <c:numRef>
              <c:f>Sheet2!$F$10:$F$14</c:f>
              <c:numCache>
                <c:formatCode>General</c:formatCode>
                <c:ptCount val="4"/>
                <c:pt idx="0">
                  <c:v>36466.655999999988</c:v>
                </c:pt>
                <c:pt idx="1">
                  <c:v>31822.860000000015</c:v>
                </c:pt>
                <c:pt idx="2">
                  <c:v>37099.227000000043</c:v>
                </c:pt>
                <c:pt idx="3">
                  <c:v>39052.868999999992</c:v>
                </c:pt>
              </c:numCache>
            </c:numRef>
          </c:val>
          <c:extLst>
            <c:ext xmlns:c16="http://schemas.microsoft.com/office/drawing/2014/chart" uri="{C3380CC4-5D6E-409C-BE32-E72D297353CC}">
              <c16:uniqueId val="{00000000-9F11-43C2-A467-68179D5BE720}"/>
            </c:ext>
          </c:extLst>
        </c:ser>
        <c:dLbls>
          <c:showLegendKey val="0"/>
          <c:showVal val="0"/>
          <c:showCatName val="0"/>
          <c:showSerName val="0"/>
          <c:showPercent val="0"/>
          <c:showBubbleSize val="0"/>
        </c:dLbls>
        <c:gapWidth val="150"/>
        <c:shape val="box"/>
        <c:axId val="480086480"/>
        <c:axId val="480084560"/>
        <c:axId val="0"/>
      </c:bar3DChart>
      <c:catAx>
        <c:axId val="480086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084560"/>
        <c:crosses val="autoZero"/>
        <c:auto val="1"/>
        <c:lblAlgn val="ctr"/>
        <c:lblOffset val="100"/>
        <c:noMultiLvlLbl val="0"/>
      </c:catAx>
      <c:valAx>
        <c:axId val="48008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08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Sheet2!$I$9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30-49AB-836F-8CD34F97DF7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30-49AB-836F-8CD34F97DF7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B30-49AB-836F-8CD34F97DF7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B30-49AB-836F-8CD34F97DF7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B30-49AB-836F-8CD34F97DF7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B30-49AB-836F-8CD34F97DF7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B30-49AB-836F-8CD34F97DF7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B30-49AB-836F-8CD34F97DF7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B30-49AB-836F-8CD34F97DF7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B30-49AB-836F-8CD34F97DF78}"/>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6B30-49AB-836F-8CD34F97DF78}"/>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6B30-49AB-836F-8CD34F97DF78}"/>
              </c:ext>
            </c:extLst>
          </c:dPt>
          <c:cat>
            <c:strRef>
              <c:f>Sheet2!$H$10:$H$21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Sheet2!$I$10:$I$21</c:f>
              <c:numCache>
                <c:formatCode>General</c:formatCode>
                <c:ptCount val="12"/>
                <c:pt idx="0">
                  <c:v>49652.479999999996</c:v>
                </c:pt>
                <c:pt idx="1">
                  <c:v>35177.65</c:v>
                </c:pt>
                <c:pt idx="2">
                  <c:v>41182.280000000021</c:v>
                </c:pt>
                <c:pt idx="3">
                  <c:v>44208.340000000004</c:v>
                </c:pt>
                <c:pt idx="4">
                  <c:v>33515.86</c:v>
                </c:pt>
                <c:pt idx="5">
                  <c:v>40579.550000000003</c:v>
                </c:pt>
                <c:pt idx="6">
                  <c:v>33858.37999999999</c:v>
                </c:pt>
                <c:pt idx="7">
                  <c:v>36601.919999999991</c:v>
                </c:pt>
                <c:pt idx="8">
                  <c:v>44424.94</c:v>
                </c:pt>
                <c:pt idx="9">
                  <c:v>42098.94999999999</c:v>
                </c:pt>
                <c:pt idx="10">
                  <c:v>39657.289999999986</c:v>
                </c:pt>
                <c:pt idx="11">
                  <c:v>40514.399999999994</c:v>
                </c:pt>
              </c:numCache>
            </c:numRef>
          </c:val>
          <c:extLst>
            <c:ext xmlns:c16="http://schemas.microsoft.com/office/drawing/2014/chart" uri="{C3380CC4-5D6E-409C-BE32-E72D297353CC}">
              <c16:uniqueId val="{00000000-1826-47AA-B3DF-534BAD5779F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profit</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Sheet2!$L$9</c:f>
              <c:strCache>
                <c:ptCount val="1"/>
                <c:pt idx="0">
                  <c:v>Total</c:v>
                </c:pt>
              </c:strCache>
            </c:strRef>
          </c:tx>
          <c:spPr>
            <a:solidFill>
              <a:schemeClr val="accent1"/>
            </a:solidFill>
            <a:ln>
              <a:noFill/>
            </a:ln>
            <a:effectLst/>
            <a:sp3d/>
          </c:spPr>
          <c:cat>
            <c:strRef>
              <c:f>Sheet2!$K$10:$K$21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Sheet2!$L$10:$L$21</c:f>
              <c:numCache>
                <c:formatCode>General</c:formatCode>
                <c:ptCount val="12"/>
                <c:pt idx="0">
                  <c:v>14895.743999999999</c:v>
                </c:pt>
                <c:pt idx="1">
                  <c:v>10553.295000000002</c:v>
                </c:pt>
                <c:pt idx="2">
                  <c:v>12354.683999999992</c:v>
                </c:pt>
                <c:pt idx="3">
                  <c:v>13262.501999999997</c:v>
                </c:pt>
                <c:pt idx="4">
                  <c:v>10054.758000000003</c:v>
                </c:pt>
                <c:pt idx="5">
                  <c:v>12173.864999999998</c:v>
                </c:pt>
                <c:pt idx="6">
                  <c:v>10157.513999999997</c:v>
                </c:pt>
                <c:pt idx="7">
                  <c:v>10980.576000000001</c:v>
                </c:pt>
                <c:pt idx="8">
                  <c:v>13327.482</c:v>
                </c:pt>
                <c:pt idx="9">
                  <c:v>12629.685000000001</c:v>
                </c:pt>
                <c:pt idx="10">
                  <c:v>11897.186999999998</c:v>
                </c:pt>
                <c:pt idx="11">
                  <c:v>12154.320000000002</c:v>
                </c:pt>
              </c:numCache>
            </c:numRef>
          </c:val>
          <c:extLst>
            <c:ext xmlns:c16="http://schemas.microsoft.com/office/drawing/2014/chart" uri="{C3380CC4-5D6E-409C-BE32-E72D297353CC}">
              <c16:uniqueId val="{00000000-BDD7-4173-992F-605DEF70C95D}"/>
            </c:ext>
          </c:extLst>
        </c:ser>
        <c:dLbls>
          <c:showLegendKey val="0"/>
          <c:showVal val="0"/>
          <c:showCatName val="0"/>
          <c:showSerName val="0"/>
          <c:showPercent val="0"/>
          <c:showBubbleSize val="0"/>
        </c:dLbls>
        <c:axId val="1878374064"/>
        <c:axId val="1878374544"/>
        <c:axId val="1860994864"/>
      </c:area3DChart>
      <c:catAx>
        <c:axId val="1878374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74544"/>
        <c:crosses val="autoZero"/>
        <c:auto val="1"/>
        <c:lblAlgn val="ctr"/>
        <c:lblOffset val="100"/>
        <c:noMultiLvlLbl val="0"/>
      </c:catAx>
      <c:valAx>
        <c:axId val="187837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74064"/>
        <c:crosses val="autoZero"/>
        <c:crossBetween val="midCat"/>
      </c:valAx>
      <c:serAx>
        <c:axId val="186099486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745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41426071741031"/>
          <c:y val="0.12397929425488481"/>
          <c:w val="0.5480579615048119"/>
          <c:h val="0.75047317002041414"/>
        </c:manualLayout>
      </c:layout>
      <c:barChart>
        <c:barDir val="bar"/>
        <c:grouping val="clustered"/>
        <c:varyColors val="0"/>
        <c:ser>
          <c:idx val="0"/>
          <c:order val="0"/>
          <c:tx>
            <c:strRef>
              <c:f>Sheet2!$R$9:$R$10</c:f>
              <c:strCache>
                <c:ptCount val="1"/>
                <c:pt idx="0">
                  <c:v>East</c:v>
                </c:pt>
              </c:strCache>
            </c:strRef>
          </c:tx>
          <c:spPr>
            <a:solidFill>
              <a:schemeClr val="accent1"/>
            </a:solidFill>
            <a:ln>
              <a:noFill/>
            </a:ln>
            <a:effectLst/>
          </c:spPr>
          <c:invertIfNegative val="0"/>
          <c:cat>
            <c:strRef>
              <c:f>Sheet2!$Q$11:$Q$13</c:f>
              <c:strCache>
                <c:ptCount val="2"/>
                <c:pt idx="0">
                  <c:v>2024</c:v>
                </c:pt>
                <c:pt idx="1">
                  <c:v>2025</c:v>
                </c:pt>
              </c:strCache>
            </c:strRef>
          </c:cat>
          <c:val>
            <c:numRef>
              <c:f>Sheet2!$R$11:$R$13</c:f>
              <c:numCache>
                <c:formatCode>General</c:formatCode>
                <c:ptCount val="2"/>
                <c:pt idx="0">
                  <c:v>16114.608000000002</c:v>
                </c:pt>
                <c:pt idx="1">
                  <c:v>20352.047999999999</c:v>
                </c:pt>
              </c:numCache>
            </c:numRef>
          </c:val>
          <c:extLst>
            <c:ext xmlns:c16="http://schemas.microsoft.com/office/drawing/2014/chart" uri="{C3380CC4-5D6E-409C-BE32-E72D297353CC}">
              <c16:uniqueId val="{00000000-F067-4B3C-B02D-E953607B0429}"/>
            </c:ext>
          </c:extLst>
        </c:ser>
        <c:ser>
          <c:idx val="1"/>
          <c:order val="1"/>
          <c:tx>
            <c:strRef>
              <c:f>Sheet2!$S$9:$S$10</c:f>
              <c:strCache>
                <c:ptCount val="1"/>
                <c:pt idx="0">
                  <c:v>North</c:v>
                </c:pt>
              </c:strCache>
            </c:strRef>
          </c:tx>
          <c:spPr>
            <a:solidFill>
              <a:schemeClr val="accent2"/>
            </a:solidFill>
            <a:ln>
              <a:noFill/>
            </a:ln>
            <a:effectLst/>
          </c:spPr>
          <c:invertIfNegative val="0"/>
          <c:cat>
            <c:strRef>
              <c:f>Sheet2!$Q$11:$Q$13</c:f>
              <c:strCache>
                <c:ptCount val="2"/>
                <c:pt idx="0">
                  <c:v>2024</c:v>
                </c:pt>
                <c:pt idx="1">
                  <c:v>2025</c:v>
                </c:pt>
              </c:strCache>
            </c:strRef>
          </c:cat>
          <c:val>
            <c:numRef>
              <c:f>Sheet2!$S$11:$S$13</c:f>
              <c:numCache>
                <c:formatCode>General</c:formatCode>
                <c:ptCount val="2"/>
                <c:pt idx="0">
                  <c:v>16724.418000000005</c:v>
                </c:pt>
                <c:pt idx="1">
                  <c:v>15098.442000000005</c:v>
                </c:pt>
              </c:numCache>
            </c:numRef>
          </c:val>
          <c:extLst>
            <c:ext xmlns:c16="http://schemas.microsoft.com/office/drawing/2014/chart" uri="{C3380CC4-5D6E-409C-BE32-E72D297353CC}">
              <c16:uniqueId val="{00000000-0950-4DED-B193-37DCBAA850AA}"/>
            </c:ext>
          </c:extLst>
        </c:ser>
        <c:ser>
          <c:idx val="2"/>
          <c:order val="2"/>
          <c:tx>
            <c:strRef>
              <c:f>Sheet2!$T$9:$T$10</c:f>
              <c:strCache>
                <c:ptCount val="1"/>
                <c:pt idx="0">
                  <c:v>South</c:v>
                </c:pt>
              </c:strCache>
            </c:strRef>
          </c:tx>
          <c:spPr>
            <a:solidFill>
              <a:schemeClr val="accent3"/>
            </a:solidFill>
            <a:ln>
              <a:noFill/>
            </a:ln>
            <a:effectLst/>
          </c:spPr>
          <c:invertIfNegative val="0"/>
          <c:cat>
            <c:strRef>
              <c:f>Sheet2!$Q$11:$Q$13</c:f>
              <c:strCache>
                <c:ptCount val="2"/>
                <c:pt idx="0">
                  <c:v>2024</c:v>
                </c:pt>
                <c:pt idx="1">
                  <c:v>2025</c:v>
                </c:pt>
              </c:strCache>
            </c:strRef>
          </c:cat>
          <c:val>
            <c:numRef>
              <c:f>Sheet2!$T$11:$T$13</c:f>
              <c:numCache>
                <c:formatCode>General</c:formatCode>
                <c:ptCount val="2"/>
                <c:pt idx="0">
                  <c:v>18261.291000000001</c:v>
                </c:pt>
                <c:pt idx="1">
                  <c:v>18837.936000000002</c:v>
                </c:pt>
              </c:numCache>
            </c:numRef>
          </c:val>
          <c:extLst>
            <c:ext xmlns:c16="http://schemas.microsoft.com/office/drawing/2014/chart" uri="{C3380CC4-5D6E-409C-BE32-E72D297353CC}">
              <c16:uniqueId val="{00000001-0950-4DED-B193-37DCBAA850AA}"/>
            </c:ext>
          </c:extLst>
        </c:ser>
        <c:ser>
          <c:idx val="3"/>
          <c:order val="3"/>
          <c:tx>
            <c:strRef>
              <c:f>Sheet2!$U$9:$U$10</c:f>
              <c:strCache>
                <c:ptCount val="1"/>
                <c:pt idx="0">
                  <c:v>West</c:v>
                </c:pt>
              </c:strCache>
            </c:strRef>
          </c:tx>
          <c:spPr>
            <a:solidFill>
              <a:schemeClr val="accent4"/>
            </a:solidFill>
            <a:ln>
              <a:noFill/>
            </a:ln>
            <a:effectLst/>
          </c:spPr>
          <c:invertIfNegative val="0"/>
          <c:cat>
            <c:strRef>
              <c:f>Sheet2!$Q$11:$Q$13</c:f>
              <c:strCache>
                <c:ptCount val="2"/>
                <c:pt idx="0">
                  <c:v>2024</c:v>
                </c:pt>
                <c:pt idx="1">
                  <c:v>2025</c:v>
                </c:pt>
              </c:strCache>
            </c:strRef>
          </c:cat>
          <c:val>
            <c:numRef>
              <c:f>Sheet2!$U$11:$U$13</c:f>
              <c:numCache>
                <c:formatCode>General</c:formatCode>
                <c:ptCount val="2"/>
                <c:pt idx="0">
                  <c:v>18383.534999999996</c:v>
                </c:pt>
                <c:pt idx="1">
                  <c:v>20669.333999999999</c:v>
                </c:pt>
              </c:numCache>
            </c:numRef>
          </c:val>
          <c:extLst>
            <c:ext xmlns:c16="http://schemas.microsoft.com/office/drawing/2014/chart" uri="{C3380CC4-5D6E-409C-BE32-E72D297353CC}">
              <c16:uniqueId val="{00000002-0950-4DED-B193-37DCBAA850AA}"/>
            </c:ext>
          </c:extLst>
        </c:ser>
        <c:dLbls>
          <c:showLegendKey val="0"/>
          <c:showVal val="0"/>
          <c:showCatName val="0"/>
          <c:showSerName val="0"/>
          <c:showPercent val="0"/>
          <c:showBubbleSize val="0"/>
        </c:dLbls>
        <c:gapWidth val="182"/>
        <c:axId val="904575375"/>
        <c:axId val="904572015"/>
      </c:barChart>
      <c:catAx>
        <c:axId val="90457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72015"/>
        <c:crosses val="autoZero"/>
        <c:auto val="1"/>
        <c:lblAlgn val="ctr"/>
        <c:lblOffset val="100"/>
        <c:noMultiLvlLbl val="0"/>
      </c:catAx>
      <c:valAx>
        <c:axId val="904572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7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28354630411684"/>
          <c:y val="0.11472003499562555"/>
          <c:w val="0.53085601540291893"/>
          <c:h val="0.75047317002041414"/>
        </c:manualLayout>
      </c:layout>
      <c:barChart>
        <c:barDir val="bar"/>
        <c:grouping val="clustered"/>
        <c:varyColors val="0"/>
        <c:ser>
          <c:idx val="0"/>
          <c:order val="0"/>
          <c:tx>
            <c:strRef>
              <c:f>Sheet2!$O$17:$O$18</c:f>
              <c:strCache>
                <c:ptCount val="1"/>
                <c:pt idx="0">
                  <c:v>East</c:v>
                </c:pt>
              </c:strCache>
            </c:strRef>
          </c:tx>
          <c:spPr>
            <a:solidFill>
              <a:schemeClr val="accent1"/>
            </a:solidFill>
            <a:ln>
              <a:noFill/>
            </a:ln>
            <a:effectLst/>
          </c:spPr>
          <c:invertIfNegative val="0"/>
          <c:cat>
            <c:strRef>
              <c:f>Sheet2!$N$19:$N$21</c:f>
              <c:strCache>
                <c:ptCount val="2"/>
                <c:pt idx="0">
                  <c:v>2024</c:v>
                </c:pt>
                <c:pt idx="1">
                  <c:v>2025</c:v>
                </c:pt>
              </c:strCache>
            </c:strRef>
          </c:cat>
          <c:val>
            <c:numRef>
              <c:f>Sheet2!$O$19:$O$21</c:f>
              <c:numCache>
                <c:formatCode>General</c:formatCode>
                <c:ptCount val="2"/>
                <c:pt idx="0">
                  <c:v>53715.360000000001</c:v>
                </c:pt>
                <c:pt idx="1">
                  <c:v>67840.160000000033</c:v>
                </c:pt>
              </c:numCache>
            </c:numRef>
          </c:val>
          <c:extLst>
            <c:ext xmlns:c16="http://schemas.microsoft.com/office/drawing/2014/chart" uri="{C3380CC4-5D6E-409C-BE32-E72D297353CC}">
              <c16:uniqueId val="{00000000-7B91-4722-9671-FFA94C81632A}"/>
            </c:ext>
          </c:extLst>
        </c:ser>
        <c:ser>
          <c:idx val="1"/>
          <c:order val="1"/>
          <c:tx>
            <c:strRef>
              <c:f>Sheet2!$P$17:$P$18</c:f>
              <c:strCache>
                <c:ptCount val="1"/>
                <c:pt idx="0">
                  <c:v>North</c:v>
                </c:pt>
              </c:strCache>
            </c:strRef>
          </c:tx>
          <c:spPr>
            <a:solidFill>
              <a:schemeClr val="accent2"/>
            </a:solidFill>
            <a:ln>
              <a:noFill/>
            </a:ln>
            <a:effectLst/>
          </c:spPr>
          <c:invertIfNegative val="0"/>
          <c:cat>
            <c:strRef>
              <c:f>Sheet2!$N$19:$N$21</c:f>
              <c:strCache>
                <c:ptCount val="2"/>
                <c:pt idx="0">
                  <c:v>2024</c:v>
                </c:pt>
                <c:pt idx="1">
                  <c:v>2025</c:v>
                </c:pt>
              </c:strCache>
            </c:strRef>
          </c:cat>
          <c:val>
            <c:numRef>
              <c:f>Sheet2!$P$19:$P$21</c:f>
              <c:numCache>
                <c:formatCode>General</c:formatCode>
                <c:ptCount val="2"/>
                <c:pt idx="0">
                  <c:v>55748.060000000005</c:v>
                </c:pt>
                <c:pt idx="1">
                  <c:v>50328.139999999985</c:v>
                </c:pt>
              </c:numCache>
            </c:numRef>
          </c:val>
          <c:extLst>
            <c:ext xmlns:c16="http://schemas.microsoft.com/office/drawing/2014/chart" uri="{C3380CC4-5D6E-409C-BE32-E72D297353CC}">
              <c16:uniqueId val="{00000001-7B91-4722-9671-FFA94C81632A}"/>
            </c:ext>
          </c:extLst>
        </c:ser>
        <c:ser>
          <c:idx val="2"/>
          <c:order val="2"/>
          <c:tx>
            <c:strRef>
              <c:f>Sheet2!$Q$17:$Q$18</c:f>
              <c:strCache>
                <c:ptCount val="1"/>
                <c:pt idx="0">
                  <c:v>South</c:v>
                </c:pt>
              </c:strCache>
            </c:strRef>
          </c:tx>
          <c:spPr>
            <a:solidFill>
              <a:schemeClr val="accent3"/>
            </a:solidFill>
            <a:ln>
              <a:noFill/>
            </a:ln>
            <a:effectLst/>
          </c:spPr>
          <c:invertIfNegative val="0"/>
          <c:cat>
            <c:strRef>
              <c:f>Sheet2!$N$19:$N$21</c:f>
              <c:strCache>
                <c:ptCount val="2"/>
                <c:pt idx="0">
                  <c:v>2024</c:v>
                </c:pt>
                <c:pt idx="1">
                  <c:v>2025</c:v>
                </c:pt>
              </c:strCache>
            </c:strRef>
          </c:cat>
          <c:val>
            <c:numRef>
              <c:f>Sheet2!$Q$19:$Q$21</c:f>
              <c:numCache>
                <c:formatCode>General</c:formatCode>
                <c:ptCount val="2"/>
                <c:pt idx="0">
                  <c:v>60870.97</c:v>
                </c:pt>
                <c:pt idx="1">
                  <c:v>62793.120000000017</c:v>
                </c:pt>
              </c:numCache>
            </c:numRef>
          </c:val>
          <c:extLst>
            <c:ext xmlns:c16="http://schemas.microsoft.com/office/drawing/2014/chart" uri="{C3380CC4-5D6E-409C-BE32-E72D297353CC}">
              <c16:uniqueId val="{00000002-7B91-4722-9671-FFA94C81632A}"/>
            </c:ext>
          </c:extLst>
        </c:ser>
        <c:ser>
          <c:idx val="3"/>
          <c:order val="3"/>
          <c:tx>
            <c:strRef>
              <c:f>Sheet2!$R$17:$R$18</c:f>
              <c:strCache>
                <c:ptCount val="1"/>
                <c:pt idx="0">
                  <c:v>West</c:v>
                </c:pt>
              </c:strCache>
            </c:strRef>
          </c:tx>
          <c:spPr>
            <a:solidFill>
              <a:schemeClr val="accent4"/>
            </a:solidFill>
            <a:ln>
              <a:noFill/>
            </a:ln>
            <a:effectLst/>
          </c:spPr>
          <c:invertIfNegative val="0"/>
          <c:cat>
            <c:strRef>
              <c:f>Sheet2!$N$19:$N$21</c:f>
              <c:strCache>
                <c:ptCount val="2"/>
                <c:pt idx="0">
                  <c:v>2024</c:v>
                </c:pt>
                <c:pt idx="1">
                  <c:v>2025</c:v>
                </c:pt>
              </c:strCache>
            </c:strRef>
          </c:cat>
          <c:val>
            <c:numRef>
              <c:f>Sheet2!$R$19:$R$21</c:f>
              <c:numCache>
                <c:formatCode>General</c:formatCode>
                <c:ptCount val="2"/>
                <c:pt idx="0">
                  <c:v>61278.449999999983</c:v>
                </c:pt>
                <c:pt idx="1">
                  <c:v>68897.78</c:v>
                </c:pt>
              </c:numCache>
            </c:numRef>
          </c:val>
          <c:extLst>
            <c:ext xmlns:c16="http://schemas.microsoft.com/office/drawing/2014/chart" uri="{C3380CC4-5D6E-409C-BE32-E72D297353CC}">
              <c16:uniqueId val="{00000003-7B91-4722-9671-FFA94C81632A}"/>
            </c:ext>
          </c:extLst>
        </c:ser>
        <c:dLbls>
          <c:showLegendKey val="0"/>
          <c:showVal val="0"/>
          <c:showCatName val="0"/>
          <c:showSerName val="0"/>
          <c:showPercent val="0"/>
          <c:showBubbleSize val="0"/>
        </c:dLbls>
        <c:gapWidth val="182"/>
        <c:axId val="1351933775"/>
        <c:axId val="1351938095"/>
      </c:barChart>
      <c:catAx>
        <c:axId val="135193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38095"/>
        <c:crosses val="autoZero"/>
        <c:auto val="1"/>
        <c:lblAlgn val="ctr"/>
        <c:lblOffset val="100"/>
        <c:noMultiLvlLbl val="0"/>
      </c:catAx>
      <c:valAx>
        <c:axId val="1351938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3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 Files.xlsx]Sheet2!PivotTable9</c:name>
    <c:fmtId val="6"/>
  </c:pivotSource>
  <c:chart>
    <c:title>
      <c:layout>
        <c:manualLayout>
          <c:xMode val="edge"/>
          <c:yMode val="edge"/>
          <c:x val="0.44799011888219853"/>
          <c:y val="7.733408323959509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36915238536359"/>
          <c:y val="0.22688023372078489"/>
          <c:w val="0.63034954454222636"/>
          <c:h val="0.39129249468816396"/>
        </c:manualLayout>
      </c:layout>
      <c:barChart>
        <c:barDir val="col"/>
        <c:grouping val="clustered"/>
        <c:varyColors val="0"/>
        <c:ser>
          <c:idx val="0"/>
          <c:order val="0"/>
          <c:tx>
            <c:strRef>
              <c:f>Sheet2!$O$9</c:f>
              <c:strCache>
                <c:ptCount val="1"/>
                <c:pt idx="0">
                  <c:v>Total</c:v>
                </c:pt>
              </c:strCache>
            </c:strRef>
          </c:tx>
          <c:spPr>
            <a:solidFill>
              <a:schemeClr val="accent1"/>
            </a:solidFill>
            <a:ln>
              <a:noFill/>
            </a:ln>
            <a:effectLst/>
          </c:spPr>
          <c:invertIfNegative val="0"/>
          <c:cat>
            <c:strRef>
              <c:f>Sheet2!$N$10:$N$12</c:f>
              <c:strCache>
                <c:ptCount val="2"/>
                <c:pt idx="0">
                  <c:v>2024</c:v>
                </c:pt>
                <c:pt idx="1">
                  <c:v>2025</c:v>
                </c:pt>
              </c:strCache>
            </c:strRef>
          </c:cat>
          <c:val>
            <c:numRef>
              <c:f>Sheet2!$O$10:$O$12</c:f>
              <c:numCache>
                <c:formatCode>General</c:formatCode>
                <c:ptCount val="2"/>
                <c:pt idx="0">
                  <c:v>231612.84000000026</c:v>
                </c:pt>
                <c:pt idx="1">
                  <c:v>249859.20000000039</c:v>
                </c:pt>
              </c:numCache>
            </c:numRef>
          </c:val>
          <c:extLst>
            <c:ext xmlns:c16="http://schemas.microsoft.com/office/drawing/2014/chart" uri="{C3380CC4-5D6E-409C-BE32-E72D297353CC}">
              <c16:uniqueId val="{00000000-70BB-465D-B66E-50D3C891DDAA}"/>
            </c:ext>
          </c:extLst>
        </c:ser>
        <c:dLbls>
          <c:showLegendKey val="0"/>
          <c:showVal val="0"/>
          <c:showCatName val="0"/>
          <c:showSerName val="0"/>
          <c:showPercent val="0"/>
          <c:showBubbleSize val="0"/>
        </c:dLbls>
        <c:gapWidth val="219"/>
        <c:overlap val="-27"/>
        <c:axId val="904884191"/>
        <c:axId val="904882751"/>
      </c:barChart>
      <c:catAx>
        <c:axId val="90488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882751"/>
        <c:crosses val="autoZero"/>
        <c:auto val="1"/>
        <c:lblAlgn val="ctr"/>
        <c:lblOffset val="100"/>
        <c:noMultiLvlLbl val="0"/>
      </c:catAx>
      <c:valAx>
        <c:axId val="90488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88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4.svg"/><Relationship Id="rId3" Type="http://schemas.openxmlformats.org/officeDocument/2006/relationships/hyperlink" Target="#Dataset!A1"/><Relationship Id="rId7" Type="http://schemas.openxmlformats.org/officeDocument/2006/relationships/chart" Target="../charts/chart4.xml"/><Relationship Id="rId12" Type="http://schemas.openxmlformats.org/officeDocument/2006/relationships/image" Target="../media/image3.png"/><Relationship Id="rId2" Type="http://schemas.openxmlformats.org/officeDocument/2006/relationships/hyperlink" Target="#Report!A1"/><Relationship Id="rId1" Type="http://schemas.openxmlformats.org/officeDocument/2006/relationships/hyperlink" Target="#Dashbord!A1"/><Relationship Id="rId6" Type="http://schemas.openxmlformats.org/officeDocument/2006/relationships/chart" Target="../charts/chart3.xml"/><Relationship Id="rId11" Type="http://schemas.openxmlformats.org/officeDocument/2006/relationships/image" Target="../media/image2.svg"/><Relationship Id="rId5" Type="http://schemas.openxmlformats.org/officeDocument/2006/relationships/chart" Target="../charts/chart2.xml"/><Relationship Id="rId10" Type="http://schemas.openxmlformats.org/officeDocument/2006/relationships/image" Target="../media/image1.png"/><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hyperlink" Target="#Dashbord!A1"/></Relationships>
</file>

<file path=xl/drawings/_rels/drawing3.xml.rels><?xml version="1.0" encoding="UTF-8" standalone="yes"?>
<Relationships xmlns="http://schemas.openxmlformats.org/package/2006/relationships"><Relationship Id="rId1" Type="http://schemas.openxmlformats.org/officeDocument/2006/relationships/hyperlink" Target="#Dashbord!A1"/></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83820</xdr:rowOff>
    </xdr:from>
    <xdr:to>
      <xdr:col>22</xdr:col>
      <xdr:colOff>579120</xdr:colOff>
      <xdr:row>32</xdr:row>
      <xdr:rowOff>137160</xdr:rowOff>
    </xdr:to>
    <xdr:grpSp>
      <xdr:nvGrpSpPr>
        <xdr:cNvPr id="22" name="Group 21">
          <a:extLst>
            <a:ext uri="{FF2B5EF4-FFF2-40B4-BE49-F238E27FC236}">
              <a16:creationId xmlns:a16="http://schemas.microsoft.com/office/drawing/2014/main" id="{10C0590B-E036-8705-1AAD-C00FD4D36F82}"/>
            </a:ext>
          </a:extLst>
        </xdr:cNvPr>
        <xdr:cNvGrpSpPr/>
      </xdr:nvGrpSpPr>
      <xdr:grpSpPr>
        <a:xfrm>
          <a:off x="99060" y="83820"/>
          <a:ext cx="13891260" cy="5905500"/>
          <a:chOff x="99060" y="83820"/>
          <a:chExt cx="13891260" cy="5699760"/>
        </a:xfrm>
      </xdr:grpSpPr>
      <xdr:sp macro="" textlink="">
        <xdr:nvSpPr>
          <xdr:cNvPr id="3" name="Rectangle: Rounded Corners 2">
            <a:extLst>
              <a:ext uri="{FF2B5EF4-FFF2-40B4-BE49-F238E27FC236}">
                <a16:creationId xmlns:a16="http://schemas.microsoft.com/office/drawing/2014/main" id="{888E455A-97B9-C87B-6394-AB45077EEC9D}"/>
              </a:ext>
            </a:extLst>
          </xdr:cNvPr>
          <xdr:cNvSpPr/>
        </xdr:nvSpPr>
        <xdr:spPr>
          <a:xfrm>
            <a:off x="99060" y="83820"/>
            <a:ext cx="13891260" cy="5699760"/>
          </a:xfrm>
          <a:prstGeom prst="roundRect">
            <a:avLst>
              <a:gd name="adj" fmla="val 8975"/>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668A8265-177E-48F2-8F60-C6BE67E5824F}"/>
              </a:ext>
            </a:extLst>
          </xdr:cNvPr>
          <xdr:cNvSpPr/>
        </xdr:nvSpPr>
        <xdr:spPr>
          <a:xfrm>
            <a:off x="1912620" y="679537"/>
            <a:ext cx="11993880" cy="5020223"/>
          </a:xfrm>
          <a:prstGeom prst="roundRect">
            <a:avLst>
              <a:gd name="adj" fmla="val 12923"/>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Oval 4">
            <a:hlinkClick xmlns:r="http://schemas.openxmlformats.org/officeDocument/2006/relationships" r:id="rId1"/>
            <a:extLst>
              <a:ext uri="{FF2B5EF4-FFF2-40B4-BE49-F238E27FC236}">
                <a16:creationId xmlns:a16="http://schemas.microsoft.com/office/drawing/2014/main" id="{2DEC801E-1092-2C0E-F740-6CDB0B0A7717}"/>
              </a:ext>
            </a:extLst>
          </xdr:cNvPr>
          <xdr:cNvSpPr/>
        </xdr:nvSpPr>
        <xdr:spPr>
          <a:xfrm>
            <a:off x="182880" y="3535680"/>
            <a:ext cx="1661160" cy="670560"/>
          </a:xfrm>
          <a:prstGeom prst="ellipse">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DASHBORD</a:t>
            </a:r>
          </a:p>
        </xdr:txBody>
      </xdr:sp>
      <xdr:sp macro="" textlink="">
        <xdr:nvSpPr>
          <xdr:cNvPr id="6" name="Oval 5">
            <a:hlinkClick xmlns:r="http://schemas.openxmlformats.org/officeDocument/2006/relationships" r:id="rId2"/>
            <a:extLst>
              <a:ext uri="{FF2B5EF4-FFF2-40B4-BE49-F238E27FC236}">
                <a16:creationId xmlns:a16="http://schemas.microsoft.com/office/drawing/2014/main" id="{34EABAEA-3A3E-4933-BE94-3BC9BD61FF8D}"/>
              </a:ext>
            </a:extLst>
          </xdr:cNvPr>
          <xdr:cNvSpPr/>
        </xdr:nvSpPr>
        <xdr:spPr>
          <a:xfrm>
            <a:off x="205740" y="5036820"/>
            <a:ext cx="1676400" cy="670560"/>
          </a:xfrm>
          <a:prstGeom prst="ellipse">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REPORT</a:t>
            </a:r>
          </a:p>
        </xdr:txBody>
      </xdr:sp>
      <xdr:sp macro="" textlink="">
        <xdr:nvSpPr>
          <xdr:cNvPr id="7" name="Oval 6">
            <a:hlinkClick xmlns:r="http://schemas.openxmlformats.org/officeDocument/2006/relationships" r:id="rId3"/>
            <a:extLst>
              <a:ext uri="{FF2B5EF4-FFF2-40B4-BE49-F238E27FC236}">
                <a16:creationId xmlns:a16="http://schemas.microsoft.com/office/drawing/2014/main" id="{2D2678E7-D8EA-4DB6-ACEA-18E90C49AB51}"/>
              </a:ext>
            </a:extLst>
          </xdr:cNvPr>
          <xdr:cNvSpPr/>
        </xdr:nvSpPr>
        <xdr:spPr>
          <a:xfrm>
            <a:off x="213360" y="4297680"/>
            <a:ext cx="1623060" cy="685800"/>
          </a:xfrm>
          <a:prstGeom prst="ellipse">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DATAASET</a:t>
            </a:r>
          </a:p>
        </xdr:txBody>
      </xdr:sp>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3575ED3F-E534-4EA0-9419-1685D838E82B}"/>
                  </a:ext>
                </a:extLst>
              </xdr:cNvPr>
              <xdr:cNvGraphicFramePr/>
            </xdr:nvGraphicFramePr>
            <xdr:xfrm>
              <a:off x="312420" y="753082"/>
              <a:ext cx="1432560" cy="1544451"/>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2420" y="777240"/>
                <a:ext cx="143256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Orderyear 1">
                <a:extLst>
                  <a:ext uri="{FF2B5EF4-FFF2-40B4-BE49-F238E27FC236}">
                    <a16:creationId xmlns:a16="http://schemas.microsoft.com/office/drawing/2014/main" id="{01524B59-D853-4FA6-8063-A04B7746CFBE}"/>
                  </a:ext>
                </a:extLst>
              </xdr:cNvPr>
              <xdr:cNvGraphicFramePr/>
            </xdr:nvGraphicFramePr>
            <xdr:xfrm>
              <a:off x="266700" y="2423160"/>
              <a:ext cx="1478280" cy="982980"/>
            </xdr:xfrm>
            <a:graphic>
              <a:graphicData uri="http://schemas.microsoft.com/office/drawing/2010/slicer">
                <sle:slicer xmlns:sle="http://schemas.microsoft.com/office/drawing/2010/slicer" name="Orderyear 1"/>
              </a:graphicData>
            </a:graphic>
          </xdr:graphicFrame>
        </mc:Choice>
        <mc:Fallback xmlns="">
          <xdr:sp macro="" textlink="">
            <xdr:nvSpPr>
              <xdr:cNvPr id="0" name=""/>
              <xdr:cNvSpPr>
                <a:spLocks noTextEdit="1"/>
              </xdr:cNvSpPr>
            </xdr:nvSpPr>
            <xdr:spPr>
              <a:xfrm>
                <a:off x="266700" y="2507601"/>
                <a:ext cx="1478280" cy="1018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Ordermonth 1">
                <a:extLst>
                  <a:ext uri="{FF2B5EF4-FFF2-40B4-BE49-F238E27FC236}">
                    <a16:creationId xmlns:a16="http://schemas.microsoft.com/office/drawing/2014/main" id="{16D80718-091D-494F-A21C-4B0919C105EA}"/>
                  </a:ext>
                </a:extLst>
              </xdr:cNvPr>
              <xdr:cNvGraphicFramePr/>
            </xdr:nvGraphicFramePr>
            <xdr:xfrm>
              <a:off x="2042160" y="1201708"/>
              <a:ext cx="1089660" cy="3787582"/>
            </xdr:xfrm>
            <a:graphic>
              <a:graphicData uri="http://schemas.microsoft.com/office/drawing/2010/slicer">
                <sle:slicer xmlns:sle="http://schemas.microsoft.com/office/drawing/2010/slicer" name="Ordermonth 1"/>
              </a:graphicData>
            </a:graphic>
          </xdr:graphicFrame>
        </mc:Choice>
        <mc:Fallback xmlns="">
          <xdr:sp macro="" textlink="">
            <xdr:nvSpPr>
              <xdr:cNvPr id="0" name=""/>
              <xdr:cNvSpPr>
                <a:spLocks noTextEdit="1"/>
              </xdr:cNvSpPr>
            </xdr:nvSpPr>
            <xdr:spPr>
              <a:xfrm>
                <a:off x="2042160" y="1242060"/>
                <a:ext cx="1089660" cy="3924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1" name="Chart 10">
            <a:extLst>
              <a:ext uri="{FF2B5EF4-FFF2-40B4-BE49-F238E27FC236}">
                <a16:creationId xmlns:a16="http://schemas.microsoft.com/office/drawing/2014/main" id="{354C1700-B535-4A06-A3CB-25A7FAE4969A}"/>
              </a:ext>
            </a:extLst>
          </xdr:cNvPr>
          <xdr:cNvGraphicFramePr>
            <a:graphicFrameLocks/>
          </xdr:cNvGraphicFramePr>
        </xdr:nvGraphicFramePr>
        <xdr:xfrm>
          <a:off x="3322320" y="811918"/>
          <a:ext cx="3200400" cy="215226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2" name="Chart 11">
            <a:extLst>
              <a:ext uri="{FF2B5EF4-FFF2-40B4-BE49-F238E27FC236}">
                <a16:creationId xmlns:a16="http://schemas.microsoft.com/office/drawing/2014/main" id="{7F281C78-28B7-4A60-B622-9698116E7DDF}"/>
              </a:ext>
            </a:extLst>
          </xdr:cNvPr>
          <xdr:cNvGraphicFramePr>
            <a:graphicFrameLocks/>
          </xdr:cNvGraphicFramePr>
        </xdr:nvGraphicFramePr>
        <xdr:xfrm>
          <a:off x="3185160" y="3048000"/>
          <a:ext cx="2316480" cy="25450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4" name="Chart 13">
            <a:extLst>
              <a:ext uri="{FF2B5EF4-FFF2-40B4-BE49-F238E27FC236}">
                <a16:creationId xmlns:a16="http://schemas.microsoft.com/office/drawing/2014/main" id="{31D9EF92-6D9D-4204-9260-B9AAF385A4C3}"/>
              </a:ext>
            </a:extLst>
          </xdr:cNvPr>
          <xdr:cNvGraphicFramePr>
            <a:graphicFrameLocks/>
          </xdr:cNvGraphicFramePr>
        </xdr:nvGraphicFramePr>
        <xdr:xfrm>
          <a:off x="6637020" y="841336"/>
          <a:ext cx="4152900" cy="2092364"/>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5" name="Chart 14">
            <a:extLst>
              <a:ext uri="{FF2B5EF4-FFF2-40B4-BE49-F238E27FC236}">
                <a16:creationId xmlns:a16="http://schemas.microsoft.com/office/drawing/2014/main" id="{B75C52BD-4764-43E1-B832-0F9A67F1E0E2}"/>
              </a:ext>
            </a:extLst>
          </xdr:cNvPr>
          <xdr:cNvGraphicFramePr>
            <a:graphicFrameLocks/>
          </xdr:cNvGraphicFramePr>
        </xdr:nvGraphicFramePr>
        <xdr:xfrm>
          <a:off x="5577840" y="3063240"/>
          <a:ext cx="3764280" cy="254508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 name="Chart 12">
            <a:extLst>
              <a:ext uri="{FF2B5EF4-FFF2-40B4-BE49-F238E27FC236}">
                <a16:creationId xmlns:a16="http://schemas.microsoft.com/office/drawing/2014/main" id="{D8587C93-11CB-40B7-A93C-B6369D1A95D6}"/>
              </a:ext>
            </a:extLst>
          </xdr:cNvPr>
          <xdr:cNvGraphicFramePr>
            <a:graphicFrameLocks/>
          </xdr:cNvGraphicFramePr>
        </xdr:nvGraphicFramePr>
        <xdr:xfrm>
          <a:off x="9433560" y="4320540"/>
          <a:ext cx="4191000" cy="118872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6" name="Chart 15">
            <a:extLst>
              <a:ext uri="{FF2B5EF4-FFF2-40B4-BE49-F238E27FC236}">
                <a16:creationId xmlns:a16="http://schemas.microsoft.com/office/drawing/2014/main" id="{F35ABADB-0CA4-4B9B-AF1C-FA3AF3AFAAA4}"/>
              </a:ext>
            </a:extLst>
          </xdr:cNvPr>
          <xdr:cNvGraphicFramePr>
            <a:graphicFrameLocks/>
          </xdr:cNvGraphicFramePr>
        </xdr:nvGraphicFramePr>
        <xdr:xfrm>
          <a:off x="9456420" y="3032760"/>
          <a:ext cx="4381500" cy="1203960"/>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24" name="Group 23">
            <a:extLst>
              <a:ext uri="{FF2B5EF4-FFF2-40B4-BE49-F238E27FC236}">
                <a16:creationId xmlns:a16="http://schemas.microsoft.com/office/drawing/2014/main" id="{E6CB4E51-D6F5-CE64-2B02-19DDE8B20E08}"/>
              </a:ext>
            </a:extLst>
          </xdr:cNvPr>
          <xdr:cNvGrpSpPr/>
        </xdr:nvGrpSpPr>
        <xdr:grpSpPr>
          <a:xfrm>
            <a:off x="10805159" y="848691"/>
            <a:ext cx="2849881" cy="949629"/>
            <a:chOff x="10934699" y="1542111"/>
            <a:chExt cx="2849881" cy="949629"/>
          </a:xfrm>
        </xdr:grpSpPr>
        <xdr:sp macro="" textlink="">
          <xdr:nvSpPr>
            <xdr:cNvPr id="10" name="Rectangle 9">
              <a:extLst>
                <a:ext uri="{FF2B5EF4-FFF2-40B4-BE49-F238E27FC236}">
                  <a16:creationId xmlns:a16="http://schemas.microsoft.com/office/drawing/2014/main" id="{F1B8D706-4BDF-6C4C-E5C9-0C1083ED14CF}"/>
                </a:ext>
              </a:extLst>
            </xdr:cNvPr>
            <xdr:cNvSpPr/>
          </xdr:nvSpPr>
          <xdr:spPr>
            <a:xfrm>
              <a:off x="11003280" y="1542111"/>
              <a:ext cx="2781300" cy="949629"/>
            </a:xfrm>
            <a:prstGeom prst="rect">
              <a:avLst/>
            </a:prstGeom>
            <a:ln>
              <a:solidFill>
                <a:schemeClr val="accent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solidFill>
                    <a:schemeClr val="tx1"/>
                  </a:solidFill>
                </a:rPr>
                <a:t>TOTAL</a:t>
              </a:r>
              <a:r>
                <a:rPr lang="en-IN" sz="1100" baseline="0">
                  <a:solidFill>
                    <a:schemeClr val="tx1"/>
                  </a:solidFill>
                </a:rPr>
                <a:t> SALES</a:t>
              </a:r>
              <a:endParaRPr lang="en-IN" sz="1100">
                <a:solidFill>
                  <a:schemeClr val="tx1"/>
                </a:solidFill>
              </a:endParaRPr>
            </a:p>
          </xdr:txBody>
        </xdr:sp>
        <xdr:pic>
          <xdr:nvPicPr>
            <xdr:cNvPr id="19" name="Graphic 18" descr="Shooting star with solid fill">
              <a:extLst>
                <a:ext uri="{FF2B5EF4-FFF2-40B4-BE49-F238E27FC236}">
                  <a16:creationId xmlns:a16="http://schemas.microsoft.com/office/drawing/2014/main" id="{BC7F0769-3BB9-ECC5-E7A8-B60E09A622E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34699" y="1699260"/>
              <a:ext cx="1156079" cy="784860"/>
            </a:xfrm>
            <a:prstGeom prst="rect">
              <a:avLst/>
            </a:prstGeom>
          </xdr:spPr>
        </xdr:pic>
      </xdr:grpSp>
      <xdr:grpSp>
        <xdr:nvGrpSpPr>
          <xdr:cNvPr id="25" name="Group 24">
            <a:extLst>
              <a:ext uri="{FF2B5EF4-FFF2-40B4-BE49-F238E27FC236}">
                <a16:creationId xmlns:a16="http://schemas.microsoft.com/office/drawing/2014/main" id="{5790053F-66EA-9FA8-69D6-91E1D40E2336}"/>
              </a:ext>
            </a:extLst>
          </xdr:cNvPr>
          <xdr:cNvGrpSpPr/>
        </xdr:nvGrpSpPr>
        <xdr:grpSpPr>
          <a:xfrm>
            <a:off x="10866120" y="1935480"/>
            <a:ext cx="2964180" cy="1127760"/>
            <a:chOff x="10927080" y="2598420"/>
            <a:chExt cx="2964180" cy="1127760"/>
          </a:xfrm>
        </xdr:grpSpPr>
        <xdr:sp macro="" textlink="">
          <xdr:nvSpPr>
            <xdr:cNvPr id="21" name="Rectangle 20">
              <a:extLst>
                <a:ext uri="{FF2B5EF4-FFF2-40B4-BE49-F238E27FC236}">
                  <a16:creationId xmlns:a16="http://schemas.microsoft.com/office/drawing/2014/main" id="{3C9DE3F3-8433-1C4B-D79D-6238AAA97F95}"/>
                </a:ext>
              </a:extLst>
            </xdr:cNvPr>
            <xdr:cNvSpPr/>
          </xdr:nvSpPr>
          <xdr:spPr>
            <a:xfrm>
              <a:off x="10965180" y="2598420"/>
              <a:ext cx="2926080" cy="1051560"/>
            </a:xfrm>
            <a:prstGeom prst="rect">
              <a:avLst/>
            </a:prstGeom>
            <a:solidFill>
              <a:schemeClr val="bg1"/>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TOTAL PROFIT</a:t>
              </a:r>
            </a:p>
          </xdr:txBody>
        </xdr:sp>
        <xdr:pic>
          <xdr:nvPicPr>
            <xdr:cNvPr id="23" name="Graphic 22" descr="Upward trend with solid fill">
              <a:extLst>
                <a:ext uri="{FF2B5EF4-FFF2-40B4-BE49-F238E27FC236}">
                  <a16:creationId xmlns:a16="http://schemas.microsoft.com/office/drawing/2014/main" id="{0A0DF47D-2E8E-5C61-1585-798C58CFBEC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927080" y="2811780"/>
              <a:ext cx="1005840" cy="914400"/>
            </a:xfrm>
            <a:prstGeom prst="rect">
              <a:avLst/>
            </a:prstGeom>
          </xdr:spPr>
        </xdr:pic>
      </xdr:grpSp>
      <xdr:sp macro="" textlink="Sheet2!G3">
        <xdr:nvSpPr>
          <xdr:cNvPr id="18" name="Rectangle: Folded Corner 17">
            <a:extLst>
              <a:ext uri="{FF2B5EF4-FFF2-40B4-BE49-F238E27FC236}">
                <a16:creationId xmlns:a16="http://schemas.microsoft.com/office/drawing/2014/main" id="{2A4F2095-F8CA-8834-550A-23C5FA75D1E2}"/>
              </a:ext>
            </a:extLst>
          </xdr:cNvPr>
          <xdr:cNvSpPr/>
        </xdr:nvSpPr>
        <xdr:spPr>
          <a:xfrm>
            <a:off x="11986260" y="1157581"/>
            <a:ext cx="1554480" cy="602638"/>
          </a:xfrm>
          <a:prstGeom prst="foldedCorner">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953B048-563F-4182-9D4F-224BF951824C}" type="TxLink">
              <a:rPr lang="en-US" sz="1800" b="1" i="0" u="none" strike="noStrike">
                <a:solidFill>
                  <a:schemeClr val="bg1"/>
                </a:solidFill>
                <a:latin typeface="Aptos Narrow"/>
              </a:rPr>
              <a:pPr algn="ctr"/>
              <a:t>481472.04</a:t>
            </a:fld>
            <a:endParaRPr lang="en-IN" sz="1800" b="1">
              <a:solidFill>
                <a:schemeClr val="bg1"/>
              </a:solidFill>
            </a:endParaRPr>
          </a:p>
        </xdr:txBody>
      </xdr:sp>
      <xdr:sp macro="" textlink="Sheet2!I3">
        <xdr:nvSpPr>
          <xdr:cNvPr id="20" name="Rectangle: Folded Corner 19">
            <a:extLst>
              <a:ext uri="{FF2B5EF4-FFF2-40B4-BE49-F238E27FC236}">
                <a16:creationId xmlns:a16="http://schemas.microsoft.com/office/drawing/2014/main" id="{2E24E866-3EEB-4E52-A453-D77ABE46ED81}"/>
              </a:ext>
            </a:extLst>
          </xdr:cNvPr>
          <xdr:cNvSpPr/>
        </xdr:nvSpPr>
        <xdr:spPr>
          <a:xfrm>
            <a:off x="11910060" y="2341660"/>
            <a:ext cx="1805940" cy="561560"/>
          </a:xfrm>
          <a:prstGeom prst="foldedCorner">
            <a:avLst>
              <a:gd name="adj" fmla="val 23118"/>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AB76101-D57A-4267-B653-26E5030947D2}" type="TxLink">
              <a:rPr lang="en-US" sz="1800" b="1" i="0" u="none" strike="noStrike">
                <a:solidFill>
                  <a:schemeClr val="bg1"/>
                </a:solidFill>
                <a:latin typeface="Aptos Narrow"/>
              </a:rPr>
              <a:pPr algn="ctr"/>
              <a:t>144441.612</a:t>
            </a:fld>
            <a:endParaRPr lang="en-IN" sz="1800" b="1">
              <a:solidFill>
                <a:schemeClr val="bg1"/>
              </a:solidFill>
            </a:endParaRPr>
          </a:p>
        </xdr:txBody>
      </xdr:sp>
    </xdr:grpSp>
    <xdr:clientData/>
  </xdr:twoCellAnchor>
  <xdr:twoCellAnchor>
    <xdr:from>
      <xdr:col>1</xdr:col>
      <xdr:colOff>91440</xdr:colOff>
      <xdr:row>0</xdr:row>
      <xdr:rowOff>167640</xdr:rowOff>
    </xdr:from>
    <xdr:to>
      <xdr:col>21</xdr:col>
      <xdr:colOff>495300</xdr:colOff>
      <xdr:row>3</xdr:row>
      <xdr:rowOff>106680</xdr:rowOff>
    </xdr:to>
    <xdr:sp macro="" textlink="">
      <xdr:nvSpPr>
        <xdr:cNvPr id="26" name="TextBox 25">
          <a:extLst>
            <a:ext uri="{FF2B5EF4-FFF2-40B4-BE49-F238E27FC236}">
              <a16:creationId xmlns:a16="http://schemas.microsoft.com/office/drawing/2014/main" id="{74CBFD9F-C22C-9580-C0E7-DA9A10CED3DB}"/>
            </a:ext>
          </a:extLst>
        </xdr:cNvPr>
        <xdr:cNvSpPr txBox="1"/>
      </xdr:nvSpPr>
      <xdr:spPr>
        <a:xfrm>
          <a:off x="701040" y="167640"/>
          <a:ext cx="12595860" cy="487680"/>
        </a:xfrm>
        <a:prstGeom prst="rect">
          <a:avLst/>
        </a:prstGeom>
        <a:noFill/>
        <a:ln w="9525" cmpd="sng">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FF0000"/>
              </a:solidFill>
            </a:rPr>
            <a:t>SALES AND PROFIT ANALYSIS DASHBOARD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182880</xdr:colOff>
      <xdr:row>31</xdr:row>
      <xdr:rowOff>7620</xdr:rowOff>
    </xdr:from>
    <xdr:to>
      <xdr:col>20</xdr:col>
      <xdr:colOff>15240</xdr:colOff>
      <xdr:row>34</xdr:row>
      <xdr:rowOff>129540</xdr:rowOff>
    </xdr:to>
    <xdr:sp macro="" textlink="">
      <xdr:nvSpPr>
        <xdr:cNvPr id="2" name="Oval 1">
          <a:hlinkClick xmlns:r="http://schemas.openxmlformats.org/officeDocument/2006/relationships" r:id="rId1"/>
          <a:extLst>
            <a:ext uri="{FF2B5EF4-FFF2-40B4-BE49-F238E27FC236}">
              <a16:creationId xmlns:a16="http://schemas.microsoft.com/office/drawing/2014/main" id="{2C6BC523-4244-4DD5-B26D-2CA174D53E1A}"/>
            </a:ext>
          </a:extLst>
        </xdr:cNvPr>
        <xdr:cNvSpPr/>
      </xdr:nvSpPr>
      <xdr:spPr>
        <a:xfrm>
          <a:off x="12481560" y="5676900"/>
          <a:ext cx="1661160" cy="670560"/>
        </a:xfrm>
        <a:prstGeom prst="ellipse">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DASHBORD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563880</xdr:colOff>
      <xdr:row>0</xdr:row>
      <xdr:rowOff>182880</xdr:rowOff>
    </xdr:from>
    <xdr:to>
      <xdr:col>18</xdr:col>
      <xdr:colOff>251460</xdr:colOff>
      <xdr:row>3</xdr:row>
      <xdr:rowOff>68580</xdr:rowOff>
    </xdr:to>
    <xdr:sp macro="" textlink="">
      <xdr:nvSpPr>
        <xdr:cNvPr id="3073" name="Text Box 1">
          <a:extLst>
            <a:ext uri="{FF2B5EF4-FFF2-40B4-BE49-F238E27FC236}">
              <a16:creationId xmlns:a16="http://schemas.microsoft.com/office/drawing/2014/main" id="{6CAEA1B9-B7C7-755A-22C6-64C640A35D66}"/>
            </a:ext>
          </a:extLst>
        </xdr:cNvPr>
        <xdr:cNvSpPr txBox="1">
          <a:spLocks noChangeArrowheads="1"/>
        </xdr:cNvSpPr>
      </xdr:nvSpPr>
      <xdr:spPr bwMode="auto">
        <a:xfrm>
          <a:off x="2392680" y="182880"/>
          <a:ext cx="8831580" cy="518160"/>
        </a:xfrm>
        <a:prstGeom prst="rect">
          <a:avLst/>
        </a:prstGeom>
        <a:solidFill>
          <a:schemeClr val="accent5">
            <a:lumMod val="75000"/>
          </a:schemeClr>
        </a:solidFill>
        <a:ln w="9525">
          <a:solidFill>
            <a:srgbClr val="000000"/>
          </a:solidFill>
          <a:miter lim="800000"/>
          <a:headEnd/>
          <a:tailEnd/>
        </a:ln>
      </xdr:spPr>
      <xdr:txBody>
        <a:bodyPr vertOverflow="clip" wrap="square" lIns="36576" tIns="32004" rIns="0" bIns="0" anchor="ctr" upright="1"/>
        <a:lstStyle/>
        <a:p>
          <a:pPr algn="ctr" rtl="0">
            <a:defRPr sz="1000"/>
          </a:pPr>
          <a:r>
            <a:rPr lang="en-IN" sz="2800" b="1" i="1" u="none" strike="noStrike" baseline="0">
              <a:solidFill>
                <a:schemeClr val="bg1"/>
              </a:solidFill>
              <a:latin typeface="Aptos Narrow"/>
            </a:rPr>
            <a:t>SALES AND PROFIT ANALYSIS DASHBOARD REPORT</a:t>
          </a:r>
        </a:p>
      </xdr:txBody>
    </xdr:sp>
    <xdr:clientData/>
  </xdr:twoCellAnchor>
  <xdr:twoCellAnchor>
    <xdr:from>
      <xdr:col>0</xdr:col>
      <xdr:colOff>327660</xdr:colOff>
      <xdr:row>3</xdr:row>
      <xdr:rowOff>121920</xdr:rowOff>
    </xdr:from>
    <xdr:to>
      <xdr:col>21</xdr:col>
      <xdr:colOff>251460</xdr:colOff>
      <xdr:row>34</xdr:row>
      <xdr:rowOff>106680</xdr:rowOff>
    </xdr:to>
    <xdr:sp macro="" textlink="">
      <xdr:nvSpPr>
        <xdr:cNvPr id="4" name="Rectangle: Diagonal Corners Rounded 3">
          <a:extLst>
            <a:ext uri="{FF2B5EF4-FFF2-40B4-BE49-F238E27FC236}">
              <a16:creationId xmlns:a16="http://schemas.microsoft.com/office/drawing/2014/main" id="{65C92412-B82F-4838-E3C1-C385E5D9892D}"/>
            </a:ext>
          </a:extLst>
        </xdr:cNvPr>
        <xdr:cNvSpPr/>
      </xdr:nvSpPr>
      <xdr:spPr>
        <a:xfrm>
          <a:off x="327660" y="754380"/>
          <a:ext cx="12725400" cy="5654040"/>
        </a:xfrm>
        <a:prstGeom prst="round2DiagRect">
          <a:avLst>
            <a:gd name="adj1" fmla="val 20948"/>
            <a:gd name="adj2" fmla="val 0"/>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365760</xdr:colOff>
      <xdr:row>6</xdr:row>
      <xdr:rowOff>167640</xdr:rowOff>
    </xdr:from>
    <xdr:to>
      <xdr:col>5</xdr:col>
      <xdr:colOff>365760</xdr:colOff>
      <xdr:row>8</xdr:row>
      <xdr:rowOff>167640</xdr:rowOff>
    </xdr:to>
    <xdr:sp macro="" textlink="">
      <xdr:nvSpPr>
        <xdr:cNvPr id="3075" name="Text Box 3">
          <a:extLst>
            <a:ext uri="{FF2B5EF4-FFF2-40B4-BE49-F238E27FC236}">
              <a16:creationId xmlns:a16="http://schemas.microsoft.com/office/drawing/2014/main" id="{F01493C9-C867-B3AF-7A73-6D6704F0C5E1}"/>
            </a:ext>
          </a:extLst>
        </xdr:cNvPr>
        <xdr:cNvSpPr txBox="1">
          <a:spLocks noChangeArrowheads="1"/>
        </xdr:cNvSpPr>
      </xdr:nvSpPr>
      <xdr:spPr bwMode="auto">
        <a:xfrm>
          <a:off x="1584960" y="1264920"/>
          <a:ext cx="1828800" cy="365760"/>
        </a:xfrm>
        <a:prstGeom prst="rect">
          <a:avLst/>
        </a:prstGeom>
        <a:solidFill>
          <a:schemeClr val="accent5">
            <a:lumMod val="20000"/>
            <a:lumOff val="80000"/>
          </a:schemeClr>
        </a:solidFill>
        <a:ln w="9525">
          <a:noFill/>
          <a:miter lim="800000"/>
          <a:headEnd/>
          <a:tailEnd/>
        </a:ln>
      </xdr:spPr>
      <xdr:txBody>
        <a:bodyPr vertOverflow="clip" wrap="square" lIns="36576" tIns="32004" rIns="0" bIns="0" anchor="ctr" upright="1"/>
        <a:lstStyle/>
        <a:p>
          <a:pPr algn="l" rtl="0">
            <a:defRPr sz="1000"/>
          </a:pPr>
          <a:r>
            <a:rPr lang="en-IN" sz="1600" b="1" i="0" u="none" strike="noStrike" baseline="0">
              <a:solidFill>
                <a:schemeClr val="accent5">
                  <a:lumMod val="50000"/>
                </a:schemeClr>
              </a:solidFill>
              <a:latin typeface="Aptos Narrow"/>
            </a:rPr>
            <a:t>OVERVIEW</a:t>
          </a:r>
        </a:p>
      </xdr:txBody>
    </xdr:sp>
    <xdr:clientData/>
  </xdr:twoCellAnchor>
  <xdr:twoCellAnchor>
    <xdr:from>
      <xdr:col>2</xdr:col>
      <xdr:colOff>502920</xdr:colOff>
      <xdr:row>8</xdr:row>
      <xdr:rowOff>144780</xdr:rowOff>
    </xdr:from>
    <xdr:to>
      <xdr:col>21</xdr:col>
      <xdr:colOff>22860</xdr:colOff>
      <xdr:row>12</xdr:row>
      <xdr:rowOff>129540</xdr:rowOff>
    </xdr:to>
    <xdr:sp macro="" textlink="">
      <xdr:nvSpPr>
        <xdr:cNvPr id="3076" name="Text Box 4">
          <a:extLst>
            <a:ext uri="{FF2B5EF4-FFF2-40B4-BE49-F238E27FC236}">
              <a16:creationId xmlns:a16="http://schemas.microsoft.com/office/drawing/2014/main" id="{059C101C-69AB-CE85-6364-E237EE89B927}"/>
            </a:ext>
          </a:extLst>
        </xdr:cNvPr>
        <xdr:cNvSpPr txBox="1">
          <a:spLocks noChangeArrowheads="1"/>
        </xdr:cNvSpPr>
      </xdr:nvSpPr>
      <xdr:spPr bwMode="auto">
        <a:xfrm>
          <a:off x="1722120" y="1607820"/>
          <a:ext cx="11102340" cy="716280"/>
        </a:xfrm>
        <a:prstGeom prst="rect">
          <a:avLst/>
        </a:prstGeom>
        <a:solidFill>
          <a:schemeClr val="accent5">
            <a:lumMod val="20000"/>
            <a:lumOff val="80000"/>
          </a:schemeClr>
        </a:solidFill>
        <a:ln w="9525">
          <a:noFill/>
          <a:miter lim="800000"/>
          <a:headEnd/>
          <a:tailEnd/>
        </a:ln>
      </xdr:spPr>
      <xdr:txBody>
        <a:bodyPr vertOverflow="clip" wrap="square" lIns="36576" tIns="32004" rIns="0" bIns="0" anchor="t" upright="1"/>
        <a:lstStyle/>
        <a:p>
          <a:pPr algn="l" rtl="0">
            <a:defRPr sz="1000"/>
          </a:pPr>
          <a:r>
            <a:rPr lang="en-IN" sz="1400" b="1" i="0" u="none" strike="noStrike" baseline="0">
              <a:solidFill>
                <a:srgbClr val="000000"/>
              </a:solidFill>
              <a:latin typeface="+mn-lt"/>
            </a:rPr>
            <a:t>The Sales and Profit Analysis Dashboard was developed using Microsoft Excel to provide an interactive and visual representation of business performance. The dashboard enables users to analyze sales and profit data across different regions, months, and years through dynamic charts and slicers.</a:t>
          </a:r>
        </a:p>
      </xdr:txBody>
    </xdr:sp>
    <xdr:clientData/>
  </xdr:twoCellAnchor>
  <xdr:twoCellAnchor>
    <xdr:from>
      <xdr:col>2</xdr:col>
      <xdr:colOff>388620</xdr:colOff>
      <xdr:row>13</xdr:row>
      <xdr:rowOff>91440</xdr:rowOff>
    </xdr:from>
    <xdr:to>
      <xdr:col>4</xdr:col>
      <xdr:colOff>373380</xdr:colOff>
      <xdr:row>15</xdr:row>
      <xdr:rowOff>22860</xdr:rowOff>
    </xdr:to>
    <xdr:sp macro="" textlink="">
      <xdr:nvSpPr>
        <xdr:cNvPr id="3077" name="Text Box 5">
          <a:extLst>
            <a:ext uri="{FF2B5EF4-FFF2-40B4-BE49-F238E27FC236}">
              <a16:creationId xmlns:a16="http://schemas.microsoft.com/office/drawing/2014/main" id="{14AEE52C-7023-6ADA-F4A4-A09A61266CA4}"/>
            </a:ext>
          </a:extLst>
        </xdr:cNvPr>
        <xdr:cNvSpPr txBox="1">
          <a:spLocks noChangeArrowheads="1"/>
        </xdr:cNvSpPr>
      </xdr:nvSpPr>
      <xdr:spPr bwMode="auto">
        <a:xfrm>
          <a:off x="1607820" y="2468880"/>
          <a:ext cx="1203960" cy="297180"/>
        </a:xfrm>
        <a:prstGeom prst="rect">
          <a:avLst/>
        </a:prstGeom>
        <a:solidFill>
          <a:schemeClr val="accent5">
            <a:lumMod val="20000"/>
            <a:lumOff val="80000"/>
          </a:schemeClr>
        </a:solidFill>
        <a:ln w="9525">
          <a:noFill/>
          <a:miter lim="800000"/>
          <a:headEnd/>
          <a:tailEnd/>
        </a:ln>
      </xdr:spPr>
      <xdr:txBody>
        <a:bodyPr vertOverflow="clip" wrap="square" lIns="36576" tIns="32004" rIns="0" bIns="0" anchor="t" upright="1"/>
        <a:lstStyle/>
        <a:p>
          <a:pPr algn="l" rtl="0">
            <a:defRPr sz="1000"/>
          </a:pPr>
          <a:r>
            <a:rPr lang="en-IN" sz="1800" b="1" i="0" u="none" strike="noStrike" baseline="0">
              <a:solidFill>
                <a:schemeClr val="accent5">
                  <a:lumMod val="50000"/>
                </a:schemeClr>
              </a:solidFill>
              <a:latin typeface="Aptos Narrow"/>
            </a:rPr>
            <a:t>OBJECTIVE</a:t>
          </a:r>
        </a:p>
      </xdr:txBody>
    </xdr:sp>
    <xdr:clientData/>
  </xdr:twoCellAnchor>
  <xdr:twoCellAnchor>
    <xdr:from>
      <xdr:col>2</xdr:col>
      <xdr:colOff>502920</xdr:colOff>
      <xdr:row>15</xdr:row>
      <xdr:rowOff>99060</xdr:rowOff>
    </xdr:from>
    <xdr:to>
      <xdr:col>16</xdr:col>
      <xdr:colOff>426720</xdr:colOff>
      <xdr:row>19</xdr:row>
      <xdr:rowOff>137160</xdr:rowOff>
    </xdr:to>
    <xdr:sp macro="" textlink="">
      <xdr:nvSpPr>
        <xdr:cNvPr id="3078" name="Text Box 6">
          <a:extLst>
            <a:ext uri="{FF2B5EF4-FFF2-40B4-BE49-F238E27FC236}">
              <a16:creationId xmlns:a16="http://schemas.microsoft.com/office/drawing/2014/main" id="{CDF81BB6-DB64-4FEC-2E63-BE8F9923EB8B}"/>
            </a:ext>
          </a:extLst>
        </xdr:cNvPr>
        <xdr:cNvSpPr txBox="1">
          <a:spLocks noChangeArrowheads="1"/>
        </xdr:cNvSpPr>
      </xdr:nvSpPr>
      <xdr:spPr bwMode="auto">
        <a:xfrm>
          <a:off x="1722120" y="2926080"/>
          <a:ext cx="8458200" cy="769620"/>
        </a:xfrm>
        <a:prstGeom prst="rect">
          <a:avLst/>
        </a:prstGeom>
        <a:solidFill>
          <a:schemeClr val="accent5">
            <a:lumMod val="20000"/>
            <a:lumOff val="80000"/>
          </a:schemeClr>
        </a:solidFill>
        <a:ln w="9525">
          <a:noFill/>
          <a:miter lim="800000"/>
          <a:headEnd/>
          <a:tailEnd/>
        </a:ln>
      </xdr:spPr>
      <xdr:txBody>
        <a:bodyPr vertOverflow="clip" wrap="square" lIns="36576" tIns="32004"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IN" sz="1400" b="1" i="0" u="none" strike="noStrike" baseline="0">
              <a:solidFill>
                <a:schemeClr val="tx1">
                  <a:lumMod val="75000"/>
                  <a:lumOff val="25000"/>
                </a:schemeClr>
              </a:solidFill>
              <a:latin typeface="+mn-lt"/>
            </a:rPr>
            <a:t>Monitor  overall sales and profit performance and </a:t>
          </a:r>
          <a:r>
            <a:rPr lang="en-IN" sz="1400" b="1" i="0" baseline="0">
              <a:solidFill>
                <a:schemeClr val="tx1">
                  <a:lumMod val="75000"/>
                  <a:lumOff val="25000"/>
                </a:schemeClr>
              </a:solidFill>
              <a:effectLst/>
              <a:latin typeface="+mn-lt"/>
              <a:ea typeface="+mn-ea"/>
              <a:cs typeface="+mn-cs"/>
            </a:rPr>
            <a:t>Compare sales and profit across regions.</a:t>
          </a:r>
          <a:endParaRPr lang="en-IN" sz="1400" b="1">
            <a:solidFill>
              <a:schemeClr val="tx1">
                <a:lumMod val="75000"/>
                <a:lumOff val="25000"/>
              </a:schemeClr>
            </a:solidFill>
            <a:effectLst/>
            <a:latin typeface="+mn-lt"/>
          </a:endParaRPr>
        </a:p>
        <a:p>
          <a:pPr algn="l" rtl="0">
            <a:defRPr sz="1000"/>
          </a:pPr>
          <a:r>
            <a:rPr lang="en-IN" sz="1400" b="1" i="0" u="none" strike="noStrike" baseline="0">
              <a:solidFill>
                <a:schemeClr val="tx1">
                  <a:lumMod val="75000"/>
                  <a:lumOff val="25000"/>
                </a:schemeClr>
              </a:solidFill>
              <a:latin typeface="+mn-lt"/>
            </a:rPr>
            <a:t>Analyze monthly,yearly sales and profit trends.</a:t>
          </a:r>
        </a:p>
        <a:p>
          <a:pPr algn="l" rtl="0">
            <a:defRPr sz="1000"/>
          </a:pPr>
          <a:r>
            <a:rPr lang="en-IN" sz="1400" b="1" i="0" u="none" strike="noStrike" baseline="0">
              <a:solidFill>
                <a:schemeClr val="tx1">
                  <a:lumMod val="75000"/>
                  <a:lumOff val="25000"/>
                </a:schemeClr>
              </a:solidFill>
              <a:latin typeface="+mn-lt"/>
            </a:rPr>
            <a:t>Support data-driven decision-making through interactive visualizations.</a:t>
          </a:r>
        </a:p>
      </xdr:txBody>
    </xdr:sp>
    <xdr:clientData/>
  </xdr:twoCellAnchor>
  <xdr:twoCellAnchor>
    <xdr:from>
      <xdr:col>2</xdr:col>
      <xdr:colOff>388620</xdr:colOff>
      <xdr:row>19</xdr:row>
      <xdr:rowOff>91440</xdr:rowOff>
    </xdr:from>
    <xdr:to>
      <xdr:col>9</xdr:col>
      <xdr:colOff>350520</xdr:colOff>
      <xdr:row>21</xdr:row>
      <xdr:rowOff>45720</xdr:rowOff>
    </xdr:to>
    <xdr:sp macro="" textlink="">
      <xdr:nvSpPr>
        <xdr:cNvPr id="3079" name="Text Box 7">
          <a:extLst>
            <a:ext uri="{FF2B5EF4-FFF2-40B4-BE49-F238E27FC236}">
              <a16:creationId xmlns:a16="http://schemas.microsoft.com/office/drawing/2014/main" id="{9F9DAD8C-A9FB-EA56-53B6-72DCE785E16F}"/>
            </a:ext>
          </a:extLst>
        </xdr:cNvPr>
        <xdr:cNvSpPr txBox="1">
          <a:spLocks noChangeArrowheads="1"/>
        </xdr:cNvSpPr>
      </xdr:nvSpPr>
      <xdr:spPr bwMode="auto">
        <a:xfrm>
          <a:off x="1607820" y="3649980"/>
          <a:ext cx="4229100" cy="320040"/>
        </a:xfrm>
        <a:prstGeom prst="rect">
          <a:avLst/>
        </a:prstGeom>
        <a:solidFill>
          <a:schemeClr val="accent5">
            <a:lumMod val="20000"/>
            <a:lumOff val="80000"/>
          </a:schemeClr>
        </a:solidFill>
        <a:ln w="9525">
          <a:noFill/>
          <a:miter lim="800000"/>
          <a:headEnd/>
          <a:tailEnd/>
        </a:ln>
      </xdr:spPr>
      <xdr:txBody>
        <a:bodyPr vertOverflow="clip" wrap="square" lIns="36576" tIns="32004" rIns="0" bIns="0" anchor="t" upright="1"/>
        <a:lstStyle/>
        <a:p>
          <a:pPr algn="l" rtl="0">
            <a:defRPr sz="1000"/>
          </a:pPr>
          <a:r>
            <a:rPr lang="en-IN" sz="1800" b="1" i="0" u="none" strike="noStrike" baseline="0">
              <a:solidFill>
                <a:schemeClr val="accent5">
                  <a:lumMod val="50000"/>
                </a:schemeClr>
              </a:solidFill>
              <a:latin typeface="+mn-lt"/>
            </a:rPr>
            <a:t>Dashboard Features And </a:t>
          </a:r>
          <a:r>
            <a:rPr lang="en-IN" sz="1800" b="1">
              <a:solidFill>
                <a:schemeClr val="accent5">
                  <a:lumMod val="50000"/>
                </a:schemeClr>
              </a:solidFill>
              <a:latin typeface="+mn-lt"/>
            </a:rPr>
            <a:t>Key Findings</a:t>
          </a:r>
          <a:endParaRPr lang="en-IN" sz="1800" b="1" i="0" u="none" strike="noStrike" baseline="0">
            <a:solidFill>
              <a:schemeClr val="accent5">
                <a:lumMod val="50000"/>
              </a:schemeClr>
            </a:solidFill>
            <a:latin typeface="+mn-lt"/>
          </a:endParaRPr>
        </a:p>
      </xdr:txBody>
    </xdr:sp>
    <xdr:clientData/>
  </xdr:twoCellAnchor>
  <xdr:twoCellAnchor>
    <xdr:from>
      <xdr:col>2</xdr:col>
      <xdr:colOff>510540</xdr:colOff>
      <xdr:row>21</xdr:row>
      <xdr:rowOff>99060</xdr:rowOff>
    </xdr:from>
    <xdr:to>
      <xdr:col>20</xdr:col>
      <xdr:colOff>350520</xdr:colOff>
      <xdr:row>29</xdr:row>
      <xdr:rowOff>22860</xdr:rowOff>
    </xdr:to>
    <xdr:sp macro="" textlink="">
      <xdr:nvSpPr>
        <xdr:cNvPr id="3080" name="Text Box 8">
          <a:extLst>
            <a:ext uri="{FF2B5EF4-FFF2-40B4-BE49-F238E27FC236}">
              <a16:creationId xmlns:a16="http://schemas.microsoft.com/office/drawing/2014/main" id="{9F8E91E8-A028-757B-9309-8479B6BE4581}"/>
            </a:ext>
          </a:extLst>
        </xdr:cNvPr>
        <xdr:cNvSpPr txBox="1">
          <a:spLocks noChangeArrowheads="1"/>
        </xdr:cNvSpPr>
      </xdr:nvSpPr>
      <xdr:spPr bwMode="auto">
        <a:xfrm>
          <a:off x="1729740" y="4023360"/>
          <a:ext cx="10812780" cy="1386840"/>
        </a:xfrm>
        <a:prstGeom prst="rect">
          <a:avLst/>
        </a:prstGeom>
        <a:solidFill>
          <a:schemeClr val="accent5">
            <a:lumMod val="20000"/>
            <a:lumOff val="80000"/>
          </a:schemeClr>
        </a:solidFill>
        <a:ln w="9525">
          <a:noFill/>
          <a:miter lim="800000"/>
          <a:headEnd/>
          <a:tailEnd/>
        </a:ln>
      </xdr:spPr>
      <xdr:txBody>
        <a:bodyPr vertOverflow="clip" wrap="square" lIns="36576" tIns="32004" rIns="0" bIns="0" anchor="t" upright="1"/>
        <a:lstStyle/>
        <a:p>
          <a:pPr algn="l" rtl="0">
            <a:defRPr sz="1000"/>
          </a:pPr>
          <a:r>
            <a:rPr lang="en-IN" sz="1400" b="1">
              <a:latin typeface="+mn-lt"/>
            </a:rPr>
            <a:t>Filter for 1. </a:t>
          </a:r>
          <a:r>
            <a:rPr lang="en-IN" sz="1400" b="1" i="0" u="none" strike="noStrike" baseline="0">
              <a:solidFill>
                <a:srgbClr val="000000"/>
              </a:solidFill>
              <a:latin typeface="+mn-lt"/>
            </a:rPr>
            <a:t>Region : East, North, South, and West.  2. Year : 2024 and 2025.  3.Month : January to December.</a:t>
          </a:r>
        </a:p>
        <a:p>
          <a:pPr algn="l" rtl="0">
            <a:defRPr sz="1000"/>
          </a:pPr>
          <a:r>
            <a:rPr lang="en-IN" sz="1400" b="1">
              <a:latin typeface="+mn-lt"/>
            </a:rPr>
            <a:t>Charts for Sales by Region, Sales by Month, Profit by Region, Profit by Month, Sales by Year and Region, and Profit by Year and Region.</a:t>
          </a:r>
        </a:p>
        <a:p>
          <a:pPr algn="l" rtl="0">
            <a:defRPr sz="1000"/>
          </a:pPr>
          <a:r>
            <a:rPr lang="en-IN" sz="1400" b="1">
              <a:latin typeface="+mn-lt"/>
            </a:rPr>
            <a:t>KPI Cards displaying Total Sales (481,472.04) and Total Profit (144,441.61).</a:t>
          </a:r>
        </a:p>
        <a:p>
          <a:r>
            <a:rPr lang="en-IN" sz="1400" b="1">
              <a:latin typeface="+mn-lt"/>
            </a:rPr>
            <a:t>The West region recorded the highest sales and profit contribution.</a:t>
          </a:r>
        </a:p>
        <a:p>
          <a:r>
            <a:rPr lang="en-IN" sz="1400" b="1">
              <a:latin typeface="+mn-lt"/>
            </a:rPr>
            <a:t>Monthly sales and profit values show fluctuations, indicating seasonal business trends.</a:t>
          </a:r>
        </a:p>
        <a:p>
          <a:r>
            <a:rPr lang="en-IN" sz="1400" b="1">
              <a:latin typeface="+mn-lt"/>
            </a:rPr>
            <a:t>Year-wise comparisons help identify growth opportunities and regional performance differences.</a:t>
          </a:r>
        </a:p>
        <a:p>
          <a:endParaRPr lang="en-IN" sz="1400" b="1">
            <a:latin typeface="+mn-lt"/>
          </a:endParaRPr>
        </a:p>
        <a:p>
          <a:pPr algn="l" rtl="0">
            <a:defRPr sz="1000"/>
          </a:pPr>
          <a:endParaRPr lang="en-IN" sz="1100" b="0" i="0" u="none" strike="noStrike" baseline="0">
            <a:solidFill>
              <a:srgbClr val="000000"/>
            </a:solidFill>
            <a:latin typeface="Aptos Narrow"/>
          </a:endParaRPr>
        </a:p>
      </xdr:txBody>
    </xdr:sp>
    <xdr:clientData/>
  </xdr:twoCellAnchor>
  <xdr:twoCellAnchor>
    <xdr:from>
      <xdr:col>2</xdr:col>
      <xdr:colOff>381000</xdr:colOff>
      <xdr:row>28</xdr:row>
      <xdr:rowOff>121920</xdr:rowOff>
    </xdr:from>
    <xdr:to>
      <xdr:col>5</xdr:col>
      <xdr:colOff>327660</xdr:colOff>
      <xdr:row>30</xdr:row>
      <xdr:rowOff>91440</xdr:rowOff>
    </xdr:to>
    <xdr:sp macro="" textlink="">
      <xdr:nvSpPr>
        <xdr:cNvPr id="3081" name="Text Box 9">
          <a:extLst>
            <a:ext uri="{FF2B5EF4-FFF2-40B4-BE49-F238E27FC236}">
              <a16:creationId xmlns:a16="http://schemas.microsoft.com/office/drawing/2014/main" id="{9DC3FAE8-DE06-FA32-C826-936146BD10C1}"/>
            </a:ext>
          </a:extLst>
        </xdr:cNvPr>
        <xdr:cNvSpPr txBox="1">
          <a:spLocks noChangeArrowheads="1"/>
        </xdr:cNvSpPr>
      </xdr:nvSpPr>
      <xdr:spPr bwMode="auto">
        <a:xfrm>
          <a:off x="1600200" y="5326380"/>
          <a:ext cx="1775460" cy="335280"/>
        </a:xfrm>
        <a:prstGeom prst="rect">
          <a:avLst/>
        </a:prstGeom>
        <a:solidFill>
          <a:schemeClr val="accent5">
            <a:lumMod val="20000"/>
            <a:lumOff val="80000"/>
          </a:schemeClr>
        </a:solidFill>
        <a:ln w="9525">
          <a:noFill/>
          <a:miter lim="800000"/>
          <a:headEnd/>
          <a:tailEnd/>
        </a:ln>
      </xdr:spPr>
      <xdr:txBody>
        <a:bodyPr vertOverflow="clip" wrap="square" lIns="36576" tIns="32004" rIns="0" bIns="0" anchor="t" upright="1"/>
        <a:lstStyle/>
        <a:p>
          <a:pPr algn="l" rtl="0">
            <a:defRPr sz="1000"/>
          </a:pPr>
          <a:r>
            <a:rPr lang="en-IN" sz="2000" b="1" i="0" u="none" strike="noStrike" baseline="0">
              <a:solidFill>
                <a:schemeClr val="accent5">
                  <a:lumMod val="50000"/>
                </a:schemeClr>
              </a:solidFill>
              <a:latin typeface="Aptos Narrow"/>
            </a:rPr>
            <a:t>Conclusion</a:t>
          </a:r>
        </a:p>
      </xdr:txBody>
    </xdr:sp>
    <xdr:clientData/>
  </xdr:twoCellAnchor>
  <xdr:twoCellAnchor>
    <xdr:from>
      <xdr:col>2</xdr:col>
      <xdr:colOff>525780</xdr:colOff>
      <xdr:row>30</xdr:row>
      <xdr:rowOff>38100</xdr:rowOff>
    </xdr:from>
    <xdr:to>
      <xdr:col>19</xdr:col>
      <xdr:colOff>533400</xdr:colOff>
      <xdr:row>34</xdr:row>
      <xdr:rowOff>38100</xdr:rowOff>
    </xdr:to>
    <xdr:sp macro="" textlink="">
      <xdr:nvSpPr>
        <xdr:cNvPr id="3082" name="Text Box 10">
          <a:extLst>
            <a:ext uri="{FF2B5EF4-FFF2-40B4-BE49-F238E27FC236}">
              <a16:creationId xmlns:a16="http://schemas.microsoft.com/office/drawing/2014/main" id="{C357C381-8D81-CC16-EA82-37F7B9F7A7B9}"/>
            </a:ext>
          </a:extLst>
        </xdr:cNvPr>
        <xdr:cNvSpPr txBox="1">
          <a:spLocks noChangeArrowheads="1"/>
        </xdr:cNvSpPr>
      </xdr:nvSpPr>
      <xdr:spPr bwMode="auto">
        <a:xfrm>
          <a:off x="1744980" y="5608320"/>
          <a:ext cx="10370820" cy="731520"/>
        </a:xfrm>
        <a:prstGeom prst="rect">
          <a:avLst/>
        </a:prstGeom>
        <a:solidFill>
          <a:schemeClr val="accent5">
            <a:lumMod val="20000"/>
            <a:lumOff val="80000"/>
          </a:schemeClr>
        </a:solidFill>
        <a:ln w="9525">
          <a:noFill/>
          <a:miter lim="800000"/>
          <a:headEnd/>
          <a:tailEnd/>
        </a:ln>
      </xdr:spPr>
      <xdr:txBody>
        <a:bodyPr vertOverflow="clip" wrap="square" lIns="36576" tIns="32004" rIns="0" bIns="0" anchor="t" upright="1"/>
        <a:lstStyle/>
        <a:p>
          <a:pPr algn="l" rtl="0">
            <a:defRPr sz="1000"/>
          </a:pPr>
          <a:r>
            <a:rPr lang="en-IN" sz="1400" b="1" i="0" u="none" strike="noStrike" baseline="0">
              <a:solidFill>
                <a:schemeClr val="tx1">
                  <a:lumMod val="75000"/>
                  <a:lumOff val="25000"/>
                </a:schemeClr>
              </a:solidFill>
              <a:latin typeface="Aptos Narrow"/>
            </a:rPr>
            <a:t>The dashboard provides a comprehensive view of organizational sales and profit performance through interactive reports and visual analytics. It helps management quickly identify trends, evaluate regional performance, and make informed business decisions, thereby improving operational efficiency and strategic planning.</a:t>
          </a:r>
        </a:p>
      </xdr:txBody>
    </xdr:sp>
    <xdr:clientData/>
  </xdr:twoCellAnchor>
  <xdr:twoCellAnchor>
    <xdr:from>
      <xdr:col>20</xdr:col>
      <xdr:colOff>510540</xdr:colOff>
      <xdr:row>31</xdr:row>
      <xdr:rowOff>144780</xdr:rowOff>
    </xdr:from>
    <xdr:to>
      <xdr:col>23</xdr:col>
      <xdr:colOff>342900</xdr:colOff>
      <xdr:row>35</xdr:row>
      <xdr:rowOff>83820</xdr:rowOff>
    </xdr:to>
    <xdr:sp macro="" textlink="">
      <xdr:nvSpPr>
        <xdr:cNvPr id="7" name="Oval 6">
          <a:hlinkClick xmlns:r="http://schemas.openxmlformats.org/officeDocument/2006/relationships" r:id="rId1"/>
          <a:extLst>
            <a:ext uri="{FF2B5EF4-FFF2-40B4-BE49-F238E27FC236}">
              <a16:creationId xmlns:a16="http://schemas.microsoft.com/office/drawing/2014/main" id="{8D293587-BCEB-4FDC-B3FA-AA145E78C902}"/>
            </a:ext>
          </a:extLst>
        </xdr:cNvPr>
        <xdr:cNvSpPr/>
      </xdr:nvSpPr>
      <xdr:spPr>
        <a:xfrm>
          <a:off x="12702540" y="5897880"/>
          <a:ext cx="1661160" cy="670560"/>
        </a:xfrm>
        <a:prstGeom prst="ellipse">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DASHBORD</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487680</xdr:colOff>
      <xdr:row>0</xdr:row>
      <xdr:rowOff>106681</xdr:rowOff>
    </xdr:from>
    <xdr:to>
      <xdr:col>4</xdr:col>
      <xdr:colOff>434340</xdr:colOff>
      <xdr:row>6</xdr:row>
      <xdr:rowOff>83821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D1593AE-FD6C-F175-AAA2-36125B2704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7680" y="106681"/>
              <a:ext cx="304038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563880</xdr:colOff>
      <xdr:row>15</xdr:row>
      <xdr:rowOff>53341</xdr:rowOff>
    </xdr:from>
    <xdr:to>
      <xdr:col>2</xdr:col>
      <xdr:colOff>929640</xdr:colOff>
      <xdr:row>27</xdr:row>
      <xdr:rowOff>1</xdr:rowOff>
    </xdr:to>
    <mc:AlternateContent xmlns:mc="http://schemas.openxmlformats.org/markup-compatibility/2006" xmlns:a14="http://schemas.microsoft.com/office/drawing/2010/main">
      <mc:Choice Requires="a14">
        <xdr:graphicFrame macro="">
          <xdr:nvGraphicFramePr>
            <xdr:cNvPr id="4" name="Ordermonth">
              <a:extLst>
                <a:ext uri="{FF2B5EF4-FFF2-40B4-BE49-F238E27FC236}">
                  <a16:creationId xmlns:a16="http://schemas.microsoft.com/office/drawing/2014/main" id="{47C3A786-74AD-974E-AB26-0C2F7E53BC3E}"/>
                </a:ext>
              </a:extLst>
            </xdr:cNvPr>
            <xdr:cNvGraphicFramePr/>
          </xdr:nvGraphicFramePr>
          <xdr:xfrm>
            <a:off x="0" y="0"/>
            <a:ext cx="0" cy="0"/>
          </xdr:xfrm>
          <a:graphic>
            <a:graphicData uri="http://schemas.microsoft.com/office/drawing/2010/slicer">
              <sle:slicer xmlns:sle="http://schemas.microsoft.com/office/drawing/2010/slicer" name="Ordermonth"/>
            </a:graphicData>
          </a:graphic>
        </xdr:graphicFrame>
      </mc:Choice>
      <mc:Fallback xmlns="">
        <xdr:sp macro="" textlink="">
          <xdr:nvSpPr>
            <xdr:cNvPr id="0" name=""/>
            <xdr:cNvSpPr>
              <a:spLocks noTextEdit="1"/>
            </xdr:cNvSpPr>
          </xdr:nvSpPr>
          <xdr:spPr>
            <a:xfrm>
              <a:off x="563880" y="2796541"/>
              <a:ext cx="182880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18</xdr:row>
      <xdr:rowOff>15241</xdr:rowOff>
    </xdr:from>
    <xdr:to>
      <xdr:col>6</xdr:col>
      <xdr:colOff>213360</xdr:colOff>
      <xdr:row>22</xdr:row>
      <xdr:rowOff>152401</xdr:rowOff>
    </xdr:to>
    <mc:AlternateContent xmlns:mc="http://schemas.openxmlformats.org/markup-compatibility/2006" xmlns:a14="http://schemas.microsoft.com/office/drawing/2010/main">
      <mc:Choice Requires="a14">
        <xdr:graphicFrame macro="">
          <xdr:nvGraphicFramePr>
            <xdr:cNvPr id="5" name="Orderyear">
              <a:extLst>
                <a:ext uri="{FF2B5EF4-FFF2-40B4-BE49-F238E27FC236}">
                  <a16:creationId xmlns:a16="http://schemas.microsoft.com/office/drawing/2014/main" id="{4D73EF65-AE42-F588-76EF-D6B0C36E1492}"/>
                </a:ext>
              </a:extLst>
            </xdr:cNvPr>
            <xdr:cNvGraphicFramePr/>
          </xdr:nvGraphicFramePr>
          <xdr:xfrm>
            <a:off x="0" y="0"/>
            <a:ext cx="0" cy="0"/>
          </xdr:xfrm>
          <a:graphic>
            <a:graphicData uri="http://schemas.microsoft.com/office/drawing/2010/slicer">
              <sle:slicer xmlns:sle="http://schemas.microsoft.com/office/drawing/2010/slicer" name="Orderyear"/>
            </a:graphicData>
          </a:graphic>
        </xdr:graphicFrame>
      </mc:Choice>
      <mc:Fallback xmlns="">
        <xdr:sp macro="" textlink="">
          <xdr:nvSpPr>
            <xdr:cNvPr id="0" name=""/>
            <xdr:cNvSpPr>
              <a:spLocks noTextEdit="1"/>
            </xdr:cNvSpPr>
          </xdr:nvSpPr>
          <xdr:spPr>
            <a:xfrm>
              <a:off x="2636520" y="3307081"/>
              <a:ext cx="231648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708660</xdr:colOff>
      <xdr:row>28</xdr:row>
      <xdr:rowOff>99060</xdr:rowOff>
    </xdr:from>
    <xdr:to>
      <xdr:col>11</xdr:col>
      <xdr:colOff>541020</xdr:colOff>
      <xdr:row>43</xdr:row>
      <xdr:rowOff>99060</xdr:rowOff>
    </xdr:to>
    <xdr:graphicFrame macro="">
      <xdr:nvGraphicFramePr>
        <xdr:cNvPr id="6" name="Chart 5">
          <a:extLst>
            <a:ext uri="{FF2B5EF4-FFF2-40B4-BE49-F238E27FC236}">
              <a16:creationId xmlns:a16="http://schemas.microsoft.com/office/drawing/2014/main" id="{15F4F5E3-CB17-B184-C560-0765003E3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662940</xdr:colOff>
      <xdr:row>28</xdr:row>
      <xdr:rowOff>60960</xdr:rowOff>
    </xdr:from>
    <xdr:to>
      <xdr:col>17</xdr:col>
      <xdr:colOff>769620</xdr:colOff>
      <xdr:row>43</xdr:row>
      <xdr:rowOff>60960</xdr:rowOff>
    </xdr:to>
    <xdr:graphicFrame macro="">
      <xdr:nvGraphicFramePr>
        <xdr:cNvPr id="7" name="Chart 6">
          <a:extLst>
            <a:ext uri="{FF2B5EF4-FFF2-40B4-BE49-F238E27FC236}">
              <a16:creationId xmlns:a16="http://schemas.microsoft.com/office/drawing/2014/main" id="{F915EFAA-F76E-5037-29A7-300355436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137160</xdr:rowOff>
    </xdr:from>
    <xdr:to>
      <xdr:col>5</xdr:col>
      <xdr:colOff>624840</xdr:colOff>
      <xdr:row>43</xdr:row>
      <xdr:rowOff>137160</xdr:rowOff>
    </xdr:to>
    <xdr:graphicFrame macro="">
      <xdr:nvGraphicFramePr>
        <xdr:cNvPr id="9" name="Chart 8">
          <a:extLst>
            <a:ext uri="{FF2B5EF4-FFF2-40B4-BE49-F238E27FC236}">
              <a16:creationId xmlns:a16="http://schemas.microsoft.com/office/drawing/2014/main" id="{35390498-BDB8-B695-5E85-A23C919AA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754380</xdr:colOff>
      <xdr:row>44</xdr:row>
      <xdr:rowOff>15240</xdr:rowOff>
    </xdr:from>
    <xdr:to>
      <xdr:col>17</xdr:col>
      <xdr:colOff>586740</xdr:colOff>
      <xdr:row>59</xdr:row>
      <xdr:rowOff>15240</xdr:rowOff>
    </xdr:to>
    <xdr:graphicFrame macro="">
      <xdr:nvGraphicFramePr>
        <xdr:cNvPr id="10" name="Chart 9">
          <a:extLst>
            <a:ext uri="{FF2B5EF4-FFF2-40B4-BE49-F238E27FC236}">
              <a16:creationId xmlns:a16="http://schemas.microsoft.com/office/drawing/2014/main" id="{0D4A0CC6-EA9D-8BA6-7705-05161D866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609600</xdr:colOff>
      <xdr:row>44</xdr:row>
      <xdr:rowOff>91440</xdr:rowOff>
    </xdr:from>
    <xdr:to>
      <xdr:col>11</xdr:col>
      <xdr:colOff>441960</xdr:colOff>
      <xdr:row>59</xdr:row>
      <xdr:rowOff>91440</xdr:rowOff>
    </xdr:to>
    <xdr:graphicFrame macro="">
      <xdr:nvGraphicFramePr>
        <xdr:cNvPr id="8" name="Chart 7">
          <a:extLst>
            <a:ext uri="{FF2B5EF4-FFF2-40B4-BE49-F238E27FC236}">
              <a16:creationId xmlns:a16="http://schemas.microsoft.com/office/drawing/2014/main" id="{9513949E-C2EF-F809-C038-EF2306729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60960</xdr:colOff>
      <xdr:row>44</xdr:row>
      <xdr:rowOff>53340</xdr:rowOff>
    </xdr:from>
    <xdr:to>
      <xdr:col>5</xdr:col>
      <xdr:colOff>518160</xdr:colOff>
      <xdr:row>59</xdr:row>
      <xdr:rowOff>53340</xdr:rowOff>
    </xdr:to>
    <xdr:graphicFrame macro="">
      <xdr:nvGraphicFramePr>
        <xdr:cNvPr id="11" name="Chart 10">
          <a:extLst>
            <a:ext uri="{FF2B5EF4-FFF2-40B4-BE49-F238E27FC236}">
              <a16:creationId xmlns:a16="http://schemas.microsoft.com/office/drawing/2014/main" id="{90816CC9-8BEE-72EC-3D37-86B80F0C6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0</xdr:row>
      <xdr:rowOff>0</xdr:rowOff>
    </xdr:from>
    <xdr:to>
      <xdr:col>17</xdr:col>
      <xdr:colOff>746760</xdr:colOff>
      <xdr:row>7</xdr:row>
      <xdr:rowOff>0</xdr:rowOff>
    </xdr:to>
    <xdr:graphicFrame macro="">
      <xdr:nvGraphicFramePr>
        <xdr:cNvPr id="15" name="Chart 14">
          <a:extLst>
            <a:ext uri="{FF2B5EF4-FFF2-40B4-BE49-F238E27FC236}">
              <a16:creationId xmlns:a16="http://schemas.microsoft.com/office/drawing/2014/main" id="{06733968-1ECA-7B30-2707-688564A48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D" refreshedDate="46182.781387847223" createdVersion="8" refreshedVersion="8" minRefreshableVersion="3" recordCount="1000" xr:uid="{B3CE1743-44BB-4FA3-A507-D241B93A9368}">
  <cacheSource type="worksheet">
    <worksheetSource name="Table1_2"/>
  </cacheSource>
  <cacheFields count="12">
    <cacheField name="OrderID" numFmtId="0">
      <sharedItems/>
    </cacheField>
    <cacheField name="OrderDate" numFmtId="22">
      <sharedItems containsSemiMixedTypes="0" containsNonDate="0" containsDate="1" containsString="0" minDate="2024-01-01T00:00:00" maxDate="2025-12-31T00:00:00"/>
    </cacheField>
    <cacheField name="CustomerID" numFmtId="0">
      <sharedItems/>
    </cacheField>
    <cacheField name="ProductID" numFmtId="0">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12.47" maxValue="195.89"/>
    </cacheField>
    <cacheField name="TotalSale" numFmtId="0">
      <sharedItems containsSemiMixedTypes="0" containsString="0" containsNumber="1" minValue="12.47" maxValue="1958.9" count="432">
        <n v="675.66"/>
        <n v="345.48"/>
        <n v="1852.2"/>
        <n v="1666.98"/>
        <n v="671.6"/>
        <n v="105.09"/>
        <n v="596.88"/>
        <n v="473.52"/>
        <n v="74.61"/>
        <n v="18.850000000000001"/>
        <n v="1327.2"/>
        <n v="49.24"/>
        <n v="105.84"/>
        <n v="64.62"/>
        <n v="57.1"/>
        <n v="389.3"/>
        <n v="215.76"/>
        <n v="268.64"/>
        <n v="94.25"/>
        <n v="29.94"/>
        <n v="1343.2"/>
        <n v="134.61000000000001"/>
        <n v="349.65"/>
        <n v="331.8"/>
        <n v="146.28"/>
        <n v="85.47"/>
        <n v="86.37"/>
        <n v="1459.89"/>
        <n v="1111.32"/>
        <n v="487.6"/>
        <n v="48.76"/>
        <n v="1466.64"/>
        <n v="207.25"/>
        <n v="399.6"/>
        <n v="52.92"/>
        <n v="182.6"/>
        <n v="1567.12"/>
        <n v="1013.49"/>
        <n v="172.34"/>
        <n v="101.4"/>
        <n v="56.98"/>
        <n v="402.96"/>
        <n v="367.15"/>
        <n v="199.85"/>
        <n v="450.44"/>
        <n v="1622.1"/>
        <n v="243.8"/>
        <n v="105.04"/>
        <n v="721.88"/>
        <n v="356.85"/>
        <n v="449.4"/>
        <n v="120.64"/>
        <n v="547.65"/>
        <n v="301.60000000000002"/>
        <n v="370.44"/>
        <n v="206.29"/>
        <n v="199.8"/>
        <n v="563.04999999999995"/>
        <n v="1958.9"/>
        <n v="119.76"/>
        <n v="205.23"/>
        <n v="180.96"/>
        <n v="196.96"/>
        <n v="99.76"/>
        <n v="342.05"/>
        <n v="902.35"/>
        <n v="814.8"/>
        <n v="471.39"/>
        <n v="104.9"/>
        <n v="147.72"/>
        <n v="740.88"/>
        <n v="53.74"/>
        <n v="41.45"/>
        <n v="114.2"/>
        <n v="323.64"/>
        <n v="225.22"/>
        <n v="290.14999999999998"/>
        <n v="142.75"/>
        <n v="17.64"/>
        <n v="649.14"/>
        <n v="123.48"/>
        <n v="1048.4000000000001"/>
        <n v="262.25"/>
        <n v="1296.54"/>
        <n v="165.9"/>
        <n v="209.68"/>
        <n v="931.05"/>
        <n v="730.4"/>
        <n v="193.35"/>
        <n v="51.66"/>
        <n v="180.47"/>
        <n v="24.94"/>
        <n v="733.88"/>
        <n v="232.48"/>
        <n v="60.84"/>
        <n v="176.31"/>
        <n v="195.89"/>
        <n v="1074.56"/>
        <n v="863.04"/>
        <n v="350.3"/>
        <n v="431.52"/>
        <n v="56.18"/>
        <n v="541.41"/>
        <n v="1825.5"/>
        <n v="28.49"/>
        <n v="1208.8800000000001"/>
        <n v="973.71"/>
        <n v="373.05"/>
        <n v="547.79999999999995"/>
        <n v="724.15"/>
        <n v="1189.5"/>
        <n v="365.1"/>
        <n v="182.55"/>
        <n v="199.43"/>
        <n v="182.52"/>
        <n v="973.26"/>
        <n v="314.7"/>
        <n v="785.65"/>
        <n v="214.96"/>
        <n v="155.72"/>
        <n v="472.05"/>
        <n v="522.27"/>
        <n v="331.6"/>
        <n v="624.67999999999995"/>
        <n v="1460.4"/>
        <n v="575.5"/>
        <n v="1933.5"/>
        <n v="665.01"/>
        <n v="89.24"/>
        <n v="394.6"/>
        <n v="1082.82"/>
        <n v="124.7"/>
        <n v="210.08"/>
        <n v="345.3"/>
        <n v="68.88"/>
        <n v="926.1"/>
        <n v="193.86"/>
        <n v="393.26"/>
        <n v="524.20000000000005"/>
        <n v="230.2"/>
        <n v="206.22"/>
        <n v="337.83"/>
        <n v="124.35"/>
        <n v="194.65"/>
        <n v="350.37"/>
        <n v="233.58"/>
        <n v="542.88"/>
        <n v="838.72"/>
        <n v="112.23"/>
        <n v="1481.76"/>
        <n v="581.58000000000004"/>
        <n v="38.93"/>
        <n v="56.55"/>
        <n v="446.2"/>
        <n v="221.58"/>
        <n v="298.44"/>
        <n v="73.89"/>
        <n v="268.7"/>
        <n v="35.03"/>
        <n v="1493.1"/>
        <n v="74.819999999999993"/>
        <n v="1035.9000000000001"/>
        <n v="647.28"/>
        <n v="272.51"/>
        <n v="150.80000000000001"/>
        <n v="37.700000000000003"/>
        <n v="390.08"/>
        <n v="78.92"/>
        <n v="70.56"/>
        <n v="1642.95"/>
        <n v="323.10000000000002"/>
        <n v="561.79999999999995"/>
        <n v="269.45999999999998"/>
        <n v="265.23"/>
        <n v="147.35"/>
        <n v="1126.0999999999999"/>
        <n v="966.75"/>
        <n v="376.18"/>
        <n v="337.08"/>
        <n v="1070.55"/>
        <n v="755.16"/>
        <n v="134.32"/>
        <n v="488.88"/>
        <n v="359.52"/>
        <n v="783.56"/>
        <n v="299.7"/>
        <n v="292.56"/>
        <n v="97.52"/>
        <n v="671.49"/>
        <n v="104.84"/>
        <n v="216.38"/>
        <n v="295.56"/>
        <n v="443.34"/>
        <n v="410.46"/>
        <n v="594.75"/>
        <n v="174.36"/>
        <n v="538.44000000000005"/>
        <n v="235.76"/>
        <n v="970.92"/>
        <n v="82.9"/>
        <n v="274.95999999999998"/>
        <n v="309.33"/>
        <n v="121.68"/>
        <n v="239.52"/>
        <n v="663.6"/>
        <n v="1135.47"/>
        <n v="179.76"/>
        <n v="449.44"/>
        <n v="449.55"/>
        <n v="422.24"/>
        <n v="438.84"/>
        <n v="475.8"/>
        <n v="324.42"/>
        <n v="432.76"/>
        <n v="68.41"/>
        <n v="280.24"/>
        <n v="70.06"/>
        <n v="386.7"/>
        <n v="157.56"/>
        <n v="620.70000000000005"/>
        <n v="141.96"/>
        <n v="951.6"/>
        <n v="171.85"/>
        <n v="157.84"/>
        <n v="486.63"/>
        <n v="223.83"/>
        <n v="705.24"/>
        <n v="224.72"/>
        <n v="788.27"/>
        <n v="142.44999999999999"/>
        <n v="107.48"/>
        <n v="1629.6"/>
        <n v="149.85"/>
        <n v="420.16"/>
        <n v="811.05"/>
        <n v="40.56"/>
        <n v="246.2"/>
        <n v="168.54"/>
        <n v="140.12"/>
        <n v="245.21"/>
        <n v="241.28"/>
        <n v="1410.48"/>
        <n v="210.18"/>
        <n v="1211.49"/>
        <n v="52.45"/>
        <n v="24.62"/>
        <n v="1443.76"/>
        <n v="1099.9100000000001"/>
        <n v="58.12"/>
        <n v="103.11"/>
        <n v="829.5"/>
        <n v="547.28"/>
        <n v="1078.8"/>
        <n v="310.35000000000002"/>
        <n v="290.60000000000002"/>
        <n v="17.22"/>
        <n v="172.2"/>
        <n v="673.05"/>
        <n v="34.44"/>
        <n v="117.88"/>
        <n v="248.7"/>
        <n v="68.739999999999995"/>
        <n v="360.94"/>
        <n v="537.4"/>
        <n v="1151"/>
        <n v="118.95"/>
        <n v="789.2"/>
        <n v="157.13"/>
        <n v="20.28"/>
        <n v="631.36"/>
        <n v="639.1"/>
        <n v="482.56"/>
        <n v="315.68"/>
        <n v="528.92999999999995"/>
        <n v="898.8"/>
        <n v="356.96"/>
        <n v="942.27"/>
        <n v="149.69999999999999"/>
        <n v="221.67"/>
        <n v="49.88"/>
        <n v="1081.9000000000001"/>
        <n v="690.6"/>
        <n v="228.4"/>
        <n v="87.29"/>
        <n v="284.89999999999998"/>
        <n v="524.5"/>
        <n v="116.24"/>
        <n v="34.369999999999997"/>
        <n v="116.79"/>
        <n v="236.76"/>
        <n v="1034.5"/>
        <n v="865.52"/>
        <n v="269.22000000000003"/>
        <n v="86.1"/>
        <n v="827.6"/>
        <n v="497.7"/>
        <n v="59.88"/>
        <n v="99.9"/>
        <n v="539.4"/>
        <n v="807.66"/>
        <n v="478.87"/>
        <n v="185.22"/>
        <n v="805.7"/>
        <n v="648.84"/>
        <n v="367.64"/>
        <n v="341.32"/>
        <n v="89.82"/>
        <n v="369.45"/>
        <n v="464.96"/>
        <n v="112.36"/>
        <n v="738.9"/>
        <n v="259.11"/>
        <n v="1263.29"/>
        <n v="157.35"/>
        <n v="580.04999999999995"/>
        <n v="777.33"/>
        <n v="555.66"/>
        <n v="517.23"/>
        <n v="1571.3"/>
        <n v="137.47999999999999"/>
        <n v="615.69000000000005"/>
        <n v="158.76"/>
        <n v="77.86"/>
        <n v="91.3"/>
        <n v="113.96"/>
        <n v="1371.23"/>
        <n v="863.7"/>
        <n v="269.64"/>
        <n v="258.48"/>
        <n v="387.72"/>
        <n v="169.65"/>
        <n v="129.24"/>
        <n v="1346.1"/>
        <n v="1175.3399999999999"/>
        <n v="170.94"/>
        <n v="176.4"/>
        <n v="447.66"/>
        <n v="651.84"/>
        <n v="979.45"/>
        <n v="391.78"/>
        <n v="103.45"/>
        <n v="75.400000000000006"/>
        <n v="713.92"/>
        <n v="472.68"/>
        <n v="942.78"/>
        <n v="120.54"/>
        <n v="188.5"/>
        <n v="314.26"/>
        <n v="977.76"/>
        <n v="202.8"/>
        <n v="12.47"/>
        <n v="322.44"/>
        <n v="311.44"/>
        <n v="413.8"/>
        <n v="162.21"/>
        <n v="249.75"/>
        <n v="62.35"/>
        <n v="1659"/>
        <n v="821.7"/>
        <n v="456.5"/>
        <n v="176.82"/>
        <n v="165.8"/>
        <n v="832.65"/>
        <n v="920.8"/>
        <n v="803.16"/>
        <n v="1076.8800000000001"/>
        <n v="808.92"/>
        <n v="107.88"/>
        <n v="285.5"/>
        <n v="162.96"/>
        <n v="273.89999999999998"/>
        <n v="460.4"/>
        <n v="37.409999999999997"/>
        <n v="1160.0999999999999"/>
        <n v="28.55"/>
        <n v="516.96"/>
        <n v="431.85"/>
        <n v="60.32"/>
        <n v="299.39999999999998"/>
        <n v="581.20000000000005"/>
        <n v="892.4"/>
        <n v="773.4"/>
        <n v="1763.01"/>
        <n v="1234.17"/>
        <n v="294.7"/>
        <n v="690.96"/>
        <n v="35.28"/>
        <n v="1586.79"/>
        <n v="237.9"/>
        <n v="757.33"/>
        <n v="172.74"/>
        <n v="1303.68"/>
        <n v="141.12"/>
        <n v="58.94"/>
        <n v="912.75"/>
        <n v="537.28"/>
        <n v="900.88"/>
        <n v="178.48"/>
        <n v="29.47"/>
        <n v="523.08000000000004"/>
        <n v="518.22"/>
        <n v="629.04"/>
        <n v="273.64"/>
        <n v="325.92"/>
        <n v="587.66999999999996"/>
        <n v="1095.3"/>
        <n v="131.94999999999999"/>
        <n v="591.12"/>
        <n v="517.25"/>
        <n v="171.3"/>
        <n v="209.58"/>
        <n v="136.82"/>
        <n v="256.41000000000003"/>
        <n v="365.2"/>
        <n v="113.1"/>
        <n v="414.5"/>
        <n v="805.92"/>
        <n v="552.44000000000005"/>
        <n v="115.1"/>
        <n v="1624.23"/>
        <n v="1277.8499999999999"/>
        <n v="103.32"/>
        <n v="535.44000000000005"/>
        <n v="1804.7"/>
        <n v="1763.1"/>
        <n v="112.61"/>
        <n v="1297.68"/>
        <n v="1740.15"/>
        <n v="629.16"/>
        <n v="154.97999999999999"/>
        <n v="525.20000000000005"/>
        <n v="881.55"/>
      </sharedItems>
    </cacheField>
    <cacheField name="Profit" numFmtId="0">
      <sharedItems containsSemiMixedTypes="0" containsString="0" containsNumber="1" minValue="3.7410000000000001" maxValue="587.66999999999996"/>
    </cacheField>
    <cacheField name="Region" numFmtId="0">
      <sharedItems count="4">
        <s v="East"/>
        <s v="West"/>
        <s v="North"/>
        <s v="South"/>
      </sharedItems>
    </cacheField>
    <cacheField name="OrderDay" numFmtId="0">
      <sharedItems containsSemiMixedTypes="0" containsString="0" containsNumber="1" containsInteger="1" minValue="1" maxValue="31"/>
    </cacheField>
    <cacheField name="Ordermonth" numFmtId="0">
      <sharedItems count="12">
        <s v="October"/>
        <s v="March"/>
        <s v="May"/>
        <s v="January"/>
        <s v="February"/>
        <s v="December"/>
        <s v="April"/>
        <s v="June"/>
        <s v="July"/>
        <s v="August"/>
        <s v="November"/>
        <s v="September"/>
      </sharedItems>
    </cacheField>
    <cacheField name="Orderyear" numFmtId="0">
      <sharedItems containsSemiMixedTypes="0" containsString="0" containsNumber="1" containsInteger="1" minValue="2024" maxValue="2025" count="2">
        <n v="2025"/>
        <n v="2024"/>
      </sharedItems>
    </cacheField>
  </cacheFields>
  <extLst>
    <ext xmlns:x14="http://schemas.microsoft.com/office/spreadsheetml/2009/9/main" uri="{725AE2AE-9491-48be-B2B4-4EB974FC3084}">
      <x14:pivotCacheDefinition pivotCacheId="1278892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5001"/>
    <d v="2025-10-21T00:00:00"/>
    <s v="C2443"/>
    <s v="P1012"/>
    <n v="6"/>
    <n v="112.61"/>
    <x v="0"/>
    <n v="202.69799999999998"/>
    <x v="0"/>
    <n v="21"/>
    <x v="0"/>
    <x v="0"/>
  </r>
  <r>
    <s v="ORD-5002"/>
    <d v="2024-03-13T00:00:00"/>
    <s v="C2104"/>
    <s v="P1038"/>
    <n v="4"/>
    <n v="86.37"/>
    <x v="1"/>
    <n v="103.64400000000001"/>
    <x v="1"/>
    <n v="13"/>
    <x v="1"/>
    <x v="1"/>
  </r>
  <r>
    <s v="ORD-5003"/>
    <d v="2024-05-30T00:00:00"/>
    <s v="C2328"/>
    <s v="P1025"/>
    <n v="10"/>
    <n v="185.22"/>
    <x v="2"/>
    <n v="555.66"/>
    <x v="2"/>
    <n v="30"/>
    <x v="2"/>
    <x v="1"/>
  </r>
  <r>
    <s v="ORD-5004"/>
    <d v="2025-01-24T00:00:00"/>
    <s v="C2098"/>
    <s v="P1025"/>
    <n v="9"/>
    <n v="185.22"/>
    <x v="3"/>
    <n v="500.09399999999999"/>
    <x v="1"/>
    <n v="24"/>
    <x v="3"/>
    <x v="0"/>
  </r>
  <r>
    <s v="ORD-5005"/>
    <d v="2024-02-11T00:00:00"/>
    <s v="C2261"/>
    <s v="P1027"/>
    <n v="5"/>
    <n v="134.32"/>
    <x v="4"/>
    <n v="201.48"/>
    <x v="0"/>
    <n v="11"/>
    <x v="4"/>
    <x v="1"/>
  </r>
  <r>
    <s v="ORD-5006"/>
    <d v="2024-12-09T00:00:00"/>
    <s v="C2099"/>
    <s v="P1042"/>
    <n v="3"/>
    <n v="35.03"/>
    <x v="5"/>
    <n v="31.527000000000001"/>
    <x v="2"/>
    <n v="9"/>
    <x v="5"/>
    <x v="1"/>
  </r>
  <r>
    <s v="ORD-5007"/>
    <d v="2025-12-05T00:00:00"/>
    <s v="C2118"/>
    <s v="P1005"/>
    <n v="8"/>
    <n v="74.61"/>
    <x v="6"/>
    <n v="179.06399999999999"/>
    <x v="1"/>
    <n v="5"/>
    <x v="5"/>
    <x v="0"/>
  </r>
  <r>
    <s v="ORD-5008"/>
    <d v="2024-04-18T00:00:00"/>
    <s v="C2121"/>
    <s v="P1011"/>
    <n v="6"/>
    <n v="78.92"/>
    <x v="7"/>
    <n v="142.05599999999998"/>
    <x v="2"/>
    <n v="18"/>
    <x v="6"/>
    <x v="1"/>
  </r>
  <r>
    <s v="ORD-5009"/>
    <d v="2025-06-16T00:00:00"/>
    <s v="C2119"/>
    <s v="P1005"/>
    <n v="1"/>
    <n v="74.61"/>
    <x v="8"/>
    <n v="22.382999999999999"/>
    <x v="3"/>
    <n v="16"/>
    <x v="7"/>
    <x v="0"/>
  </r>
  <r>
    <s v="ORD-5010"/>
    <d v="2025-07-09T00:00:00"/>
    <s v="C2381"/>
    <s v="P1033"/>
    <n v="1"/>
    <n v="18.850000000000001"/>
    <x v="9"/>
    <n v="5.6550000000000002"/>
    <x v="0"/>
    <n v="9"/>
    <x v="8"/>
    <x v="0"/>
  </r>
  <r>
    <s v="ORD-5011"/>
    <d v="2024-01-06T00:00:00"/>
    <s v="C2138"/>
    <s v="P1021"/>
    <n v="8"/>
    <n v="165.9"/>
    <x v="10"/>
    <n v="398.16"/>
    <x v="1"/>
    <n v="6"/>
    <x v="3"/>
    <x v="1"/>
  </r>
  <r>
    <s v="ORD-5012"/>
    <d v="2025-08-29T00:00:00"/>
    <s v="C2464"/>
    <s v="P1020"/>
    <n v="2"/>
    <n v="24.62"/>
    <x v="11"/>
    <n v="14.772"/>
    <x v="1"/>
    <n v="29"/>
    <x v="9"/>
    <x v="0"/>
  </r>
  <r>
    <s v="ORD-5013"/>
    <d v="2025-03-09T00:00:00"/>
    <s v="C2058"/>
    <s v="P1006"/>
    <n v="6"/>
    <n v="17.64"/>
    <x v="12"/>
    <n v="31.751999999999999"/>
    <x v="3"/>
    <n v="9"/>
    <x v="1"/>
    <x v="0"/>
  </r>
  <r>
    <s v="ORD-5014"/>
    <d v="2025-02-24T00:00:00"/>
    <s v="C2380"/>
    <s v="P1026"/>
    <n v="1"/>
    <n v="64.62"/>
    <x v="13"/>
    <n v="19.385999999999999"/>
    <x v="2"/>
    <n v="24"/>
    <x v="4"/>
    <x v="0"/>
  </r>
  <r>
    <s v="ORD-5015"/>
    <d v="2024-08-20T00:00:00"/>
    <s v="C2063"/>
    <s v="P1004"/>
    <n v="2"/>
    <n v="28.55"/>
    <x v="14"/>
    <n v="17.13"/>
    <x v="3"/>
    <n v="20"/>
    <x v="9"/>
    <x v="1"/>
  </r>
  <r>
    <s v="ORD-5016"/>
    <d v="2024-03-11T00:00:00"/>
    <s v="C2368"/>
    <s v="P1018"/>
    <n v="10"/>
    <n v="38.93"/>
    <x v="15"/>
    <n v="116.78999999999999"/>
    <x v="0"/>
    <n v="11"/>
    <x v="1"/>
    <x v="1"/>
  </r>
  <r>
    <s v="ORD-5017"/>
    <d v="2024-06-01T00:00:00"/>
    <s v="C2184"/>
    <s v="P1031"/>
    <n v="2"/>
    <n v="107.88"/>
    <x v="16"/>
    <n v="64.727999999999994"/>
    <x v="2"/>
    <n v="1"/>
    <x v="7"/>
    <x v="1"/>
  </r>
  <r>
    <s v="ORD-5018"/>
    <d v="2025-04-25T00:00:00"/>
    <s v="C2202"/>
    <s v="P1027"/>
    <n v="2"/>
    <n v="134.32"/>
    <x v="17"/>
    <n v="80.591999999999999"/>
    <x v="3"/>
    <n v="25"/>
    <x v="6"/>
    <x v="0"/>
  </r>
  <r>
    <s v="ORD-5019"/>
    <d v="2025-08-11T00:00:00"/>
    <s v="C2408"/>
    <s v="P1033"/>
    <n v="5"/>
    <n v="18.850000000000001"/>
    <x v="18"/>
    <n v="28.274999999999999"/>
    <x v="3"/>
    <n v="11"/>
    <x v="9"/>
    <x v="0"/>
  </r>
  <r>
    <s v="ORD-5020"/>
    <d v="2025-11-08T00:00:00"/>
    <s v="C2343"/>
    <s v="P1049"/>
    <n v="1"/>
    <n v="29.94"/>
    <x v="19"/>
    <n v="8.9819999999999993"/>
    <x v="1"/>
    <n v="8"/>
    <x v="10"/>
    <x v="0"/>
  </r>
  <r>
    <s v="ORD-5021"/>
    <d v="2025-09-10T00:00:00"/>
    <s v="C2053"/>
    <s v="P1027"/>
    <n v="10"/>
    <n v="134.32"/>
    <x v="20"/>
    <n v="402.96"/>
    <x v="2"/>
    <n v="10"/>
    <x v="11"/>
    <x v="0"/>
  </r>
  <r>
    <s v="ORD-5022"/>
    <d v="2024-12-27T00:00:00"/>
    <s v="C2488"/>
    <s v="P1009"/>
    <n v="1"/>
    <n v="134.61000000000001"/>
    <x v="21"/>
    <n v="40.383000000000003"/>
    <x v="2"/>
    <n v="27"/>
    <x v="5"/>
    <x v="1"/>
  </r>
  <r>
    <s v="ORD-5023"/>
    <d v="2025-10-31T00:00:00"/>
    <s v="C2227"/>
    <s v="P1037"/>
    <n v="7"/>
    <n v="49.95"/>
    <x v="22"/>
    <n v="104.895"/>
    <x v="0"/>
    <n v="31"/>
    <x v="0"/>
    <x v="0"/>
  </r>
  <r>
    <s v="ORD-5024"/>
    <d v="2025-03-07T00:00:00"/>
    <s v="C2499"/>
    <s v="P1021"/>
    <n v="2"/>
    <n v="165.9"/>
    <x v="23"/>
    <n v="99.54"/>
    <x v="1"/>
    <n v="7"/>
    <x v="1"/>
    <x v="0"/>
  </r>
  <r>
    <s v="ORD-5025"/>
    <d v="2025-07-08T00:00:00"/>
    <s v="C2199"/>
    <s v="P1050"/>
    <n v="3"/>
    <n v="48.76"/>
    <x v="24"/>
    <n v="43.884"/>
    <x v="2"/>
    <n v="8"/>
    <x v="8"/>
    <x v="0"/>
  </r>
  <r>
    <s v="ORD-5026"/>
    <d v="2025-09-12T00:00:00"/>
    <s v="C2318"/>
    <s v="P1041"/>
    <n v="3"/>
    <n v="28.49"/>
    <x v="25"/>
    <n v="25.640999999999998"/>
    <x v="0"/>
    <n v="12"/>
    <x v="11"/>
    <x v="0"/>
  </r>
  <r>
    <s v="ORD-5027"/>
    <d v="2025-08-17T00:00:00"/>
    <s v="C2434"/>
    <s v="P1038"/>
    <n v="1"/>
    <n v="86.37"/>
    <x v="26"/>
    <n v="25.911000000000001"/>
    <x v="2"/>
    <n v="17"/>
    <x v="9"/>
    <x v="0"/>
  </r>
  <r>
    <s v="ORD-5028"/>
    <d v="2025-10-27T00:00:00"/>
    <s v="C2060"/>
    <s v="P1029"/>
    <n v="9"/>
    <n v="162.21"/>
    <x v="27"/>
    <n v="437.96700000000004"/>
    <x v="3"/>
    <n v="27"/>
    <x v="0"/>
    <x v="0"/>
  </r>
  <r>
    <s v="ORD-5029"/>
    <d v="2024-12-16T00:00:00"/>
    <s v="C2074"/>
    <s v="P1025"/>
    <n v="6"/>
    <n v="185.22"/>
    <x v="28"/>
    <n v="333.39599999999996"/>
    <x v="1"/>
    <n v="16"/>
    <x v="5"/>
    <x v="1"/>
  </r>
  <r>
    <s v="ORD-5030"/>
    <d v="2025-03-07T00:00:00"/>
    <s v="C2222"/>
    <s v="P1050"/>
    <n v="10"/>
    <n v="48.76"/>
    <x v="29"/>
    <n v="146.28"/>
    <x v="0"/>
    <n v="7"/>
    <x v="1"/>
    <x v="0"/>
  </r>
  <r>
    <s v="ORD-5031"/>
    <d v="2025-12-17T00:00:00"/>
    <s v="C2416"/>
    <s v="P1050"/>
    <n v="1"/>
    <n v="48.76"/>
    <x v="30"/>
    <n v="14.627999999999998"/>
    <x v="1"/>
    <n v="17"/>
    <x v="5"/>
    <x v="0"/>
  </r>
  <r>
    <s v="ORD-5032"/>
    <d v="2024-12-31T00:00:00"/>
    <s v="C2005"/>
    <s v="P1004"/>
    <n v="2"/>
    <n v="28.55"/>
    <x v="14"/>
    <n v="17.13"/>
    <x v="3"/>
    <n v="31"/>
    <x v="5"/>
    <x v="1"/>
  </r>
  <r>
    <s v="ORD-5033"/>
    <d v="2025-08-08T00:00:00"/>
    <s v="C2491"/>
    <s v="P1007"/>
    <n v="9"/>
    <n v="162.96"/>
    <x v="31"/>
    <n v="439.99200000000002"/>
    <x v="0"/>
    <n v="8"/>
    <x v="9"/>
    <x v="0"/>
  </r>
  <r>
    <s v="ORD-5034"/>
    <d v="2025-04-01T00:00:00"/>
    <s v="C2168"/>
    <s v="P1034"/>
    <n v="5"/>
    <n v="41.45"/>
    <x v="32"/>
    <n v="62.174999999999997"/>
    <x v="2"/>
    <n v="1"/>
    <x v="6"/>
    <x v="0"/>
  </r>
  <r>
    <s v="ORD-5035"/>
    <d v="2024-01-17T00:00:00"/>
    <s v="C2137"/>
    <s v="P1037"/>
    <n v="8"/>
    <n v="49.95"/>
    <x v="33"/>
    <n v="119.88"/>
    <x v="3"/>
    <n v="17"/>
    <x v="3"/>
    <x v="1"/>
  </r>
  <r>
    <s v="ORD-5036"/>
    <d v="2024-08-24T00:00:00"/>
    <s v="C2500"/>
    <s v="P1006"/>
    <n v="3"/>
    <n v="17.64"/>
    <x v="34"/>
    <n v="15.875999999999999"/>
    <x v="1"/>
    <n v="24"/>
    <x v="9"/>
    <x v="1"/>
  </r>
  <r>
    <s v="ORD-5037"/>
    <d v="2024-03-01T00:00:00"/>
    <s v="C2129"/>
    <s v="P1006"/>
    <n v="3"/>
    <n v="17.64"/>
    <x v="34"/>
    <n v="15.875999999999999"/>
    <x v="1"/>
    <n v="1"/>
    <x v="1"/>
    <x v="1"/>
  </r>
  <r>
    <s v="ORD-5038"/>
    <d v="2025-05-21T00:00:00"/>
    <s v="C2364"/>
    <s v="P1013"/>
    <n v="2"/>
    <n v="91.3"/>
    <x v="35"/>
    <n v="54.779999999999994"/>
    <x v="2"/>
    <n v="21"/>
    <x v="2"/>
    <x v="0"/>
  </r>
  <r>
    <s v="ORD-5039"/>
    <d v="2025-10-11T00:00:00"/>
    <s v="C2329"/>
    <s v="P1022"/>
    <n v="8"/>
    <n v="195.89"/>
    <x v="36"/>
    <n v="470.13599999999997"/>
    <x v="0"/>
    <n v="11"/>
    <x v="0"/>
    <x v="0"/>
  </r>
  <r>
    <s v="ORD-5040"/>
    <d v="2024-11-16T00:00:00"/>
    <s v="C2215"/>
    <s v="P1012"/>
    <n v="9"/>
    <n v="112.61"/>
    <x v="37"/>
    <n v="304.04699999999997"/>
    <x v="0"/>
    <n v="16"/>
    <x v="10"/>
    <x v="1"/>
  </r>
  <r>
    <s v="ORD-5041"/>
    <d v="2024-07-24T00:00:00"/>
    <s v="C2162"/>
    <s v="P1006"/>
    <n v="6"/>
    <n v="17.64"/>
    <x v="12"/>
    <n v="31.751999999999999"/>
    <x v="0"/>
    <n v="24"/>
    <x v="8"/>
    <x v="1"/>
  </r>
  <r>
    <s v="ORD-5042"/>
    <d v="2024-08-08T00:00:00"/>
    <s v="C2268"/>
    <s v="P1020"/>
    <n v="7"/>
    <n v="24.62"/>
    <x v="38"/>
    <n v="51.701999999999998"/>
    <x v="2"/>
    <n v="8"/>
    <x v="9"/>
    <x v="1"/>
  </r>
  <r>
    <s v="ORD-5043"/>
    <d v="2025-07-29T00:00:00"/>
    <s v="C2287"/>
    <s v="P1048"/>
    <n v="5"/>
    <n v="20.28"/>
    <x v="39"/>
    <n v="30.42"/>
    <x v="0"/>
    <n v="29"/>
    <x v="8"/>
    <x v="0"/>
  </r>
  <r>
    <s v="ORD-5044"/>
    <d v="2025-01-19T00:00:00"/>
    <s v="C2102"/>
    <s v="P1041"/>
    <n v="2"/>
    <n v="28.49"/>
    <x v="40"/>
    <n v="17.093999999999998"/>
    <x v="2"/>
    <n v="19"/>
    <x v="3"/>
    <x v="0"/>
  </r>
  <r>
    <s v="ORD-5045"/>
    <d v="2024-03-10T00:00:00"/>
    <s v="C2494"/>
    <s v="P1006"/>
    <n v="3"/>
    <n v="17.64"/>
    <x v="34"/>
    <n v="15.875999999999999"/>
    <x v="2"/>
    <n v="10"/>
    <x v="1"/>
    <x v="1"/>
  </r>
  <r>
    <s v="ORD-5046"/>
    <d v="2025-04-13T00:00:00"/>
    <s v="C2255"/>
    <s v="P1027"/>
    <n v="3"/>
    <n v="134.32"/>
    <x v="41"/>
    <n v="120.88799999999999"/>
    <x v="0"/>
    <n v="13"/>
    <x v="6"/>
    <x v="0"/>
  </r>
  <r>
    <s v="ORD-5047"/>
    <d v="2025-07-08T00:00:00"/>
    <s v="C2090"/>
    <s v="P1015"/>
    <n v="7"/>
    <n v="52.45"/>
    <x v="42"/>
    <n v="110.145"/>
    <x v="2"/>
    <n v="8"/>
    <x v="8"/>
    <x v="0"/>
  </r>
  <r>
    <s v="ORD-5048"/>
    <d v="2025-04-15T00:00:00"/>
    <s v="C2328"/>
    <s v="P1004"/>
    <n v="7"/>
    <n v="28.55"/>
    <x v="43"/>
    <n v="59.954999999999998"/>
    <x v="1"/>
    <n v="15"/>
    <x v="6"/>
    <x v="0"/>
  </r>
  <r>
    <s v="ORD-5049"/>
    <d v="2025-12-19T00:00:00"/>
    <s v="C2026"/>
    <s v="P1012"/>
    <n v="4"/>
    <n v="112.61"/>
    <x v="44"/>
    <n v="135.13200000000001"/>
    <x v="1"/>
    <n v="19"/>
    <x v="5"/>
    <x v="0"/>
  </r>
  <r>
    <s v="ORD-5050"/>
    <d v="2025-11-03T00:00:00"/>
    <s v="C2432"/>
    <s v="P1029"/>
    <n v="10"/>
    <n v="162.21"/>
    <x v="45"/>
    <n v="486.62999999999994"/>
    <x v="1"/>
    <n v="3"/>
    <x v="10"/>
    <x v="0"/>
  </r>
  <r>
    <s v="ORD-5051"/>
    <d v="2025-09-15T00:00:00"/>
    <s v="C2087"/>
    <s v="P1050"/>
    <n v="5"/>
    <n v="48.76"/>
    <x v="46"/>
    <n v="73.14"/>
    <x v="2"/>
    <n v="15"/>
    <x v="11"/>
    <x v="0"/>
  </r>
  <r>
    <s v="ORD-5052"/>
    <d v="2024-11-28T00:00:00"/>
    <s v="C2445"/>
    <s v="P1032"/>
    <n v="2"/>
    <n v="52.52"/>
    <x v="47"/>
    <n v="31.512"/>
    <x v="0"/>
    <n v="28"/>
    <x v="10"/>
    <x v="1"/>
  </r>
  <r>
    <s v="ORD-5053"/>
    <d v="2025-08-15T00:00:00"/>
    <s v="C2470"/>
    <s v="P1024"/>
    <n v="4"/>
    <n v="180.47"/>
    <x v="48"/>
    <n v="216.56399999999999"/>
    <x v="3"/>
    <n v="15"/>
    <x v="9"/>
    <x v="0"/>
  </r>
  <r>
    <s v="ORD-5054"/>
    <d v="2024-08-15T00:00:00"/>
    <s v="C2140"/>
    <s v="P1047"/>
    <n v="3"/>
    <n v="118.95"/>
    <x v="49"/>
    <n v="107.05500000000001"/>
    <x v="3"/>
    <n v="15"/>
    <x v="9"/>
    <x v="1"/>
  </r>
  <r>
    <s v="ORD-5055"/>
    <d v="2024-09-01T00:00:00"/>
    <s v="C2185"/>
    <s v="P1002"/>
    <n v="5"/>
    <n v="89.88"/>
    <x v="50"/>
    <n v="134.82"/>
    <x v="1"/>
    <n v="1"/>
    <x v="11"/>
    <x v="1"/>
  </r>
  <r>
    <s v="ORD-5056"/>
    <d v="2025-02-22T00:00:00"/>
    <s v="C2162"/>
    <s v="P1017"/>
    <n v="2"/>
    <n v="60.32"/>
    <x v="51"/>
    <n v="36.192"/>
    <x v="2"/>
    <n v="22"/>
    <x v="4"/>
    <x v="0"/>
  </r>
  <r>
    <s v="ORD-5057"/>
    <d v="2024-03-22T00:00:00"/>
    <s v="C2389"/>
    <s v="P1019"/>
    <n v="3"/>
    <n v="182.55"/>
    <x v="52"/>
    <n v="164.29499999999999"/>
    <x v="2"/>
    <n v="22"/>
    <x v="1"/>
    <x v="1"/>
  </r>
  <r>
    <s v="ORD-5058"/>
    <d v="2024-06-21T00:00:00"/>
    <s v="C2347"/>
    <s v="P1017"/>
    <n v="5"/>
    <n v="60.32"/>
    <x v="53"/>
    <n v="90.48"/>
    <x v="1"/>
    <n v="21"/>
    <x v="7"/>
    <x v="1"/>
  </r>
  <r>
    <s v="ORD-5059"/>
    <d v="2024-11-19T00:00:00"/>
    <s v="C2493"/>
    <s v="P1025"/>
    <n v="2"/>
    <n v="185.22"/>
    <x v="54"/>
    <n v="111.13199999999999"/>
    <x v="2"/>
    <n v="19"/>
    <x v="10"/>
    <x v="1"/>
  </r>
  <r>
    <s v="ORD-5060"/>
    <d v="2024-01-26T00:00:00"/>
    <s v="C2453"/>
    <s v="P1037"/>
    <n v="8"/>
    <n v="49.95"/>
    <x v="33"/>
    <n v="119.88"/>
    <x v="3"/>
    <n v="26"/>
    <x v="3"/>
    <x v="1"/>
  </r>
  <r>
    <s v="ORD-5061"/>
    <d v="2024-03-20T00:00:00"/>
    <s v="C2134"/>
    <s v="P1003"/>
    <n v="7"/>
    <n v="29.47"/>
    <x v="55"/>
    <n v="61.886999999999993"/>
    <x v="3"/>
    <n v="20"/>
    <x v="1"/>
    <x v="1"/>
  </r>
  <r>
    <s v="ORD-5062"/>
    <d v="2025-08-11T00:00:00"/>
    <s v="C2374"/>
    <s v="P1037"/>
    <n v="4"/>
    <n v="49.95"/>
    <x v="56"/>
    <n v="59.94"/>
    <x v="2"/>
    <n v="11"/>
    <x v="9"/>
    <x v="0"/>
  </r>
  <r>
    <s v="ORD-5063"/>
    <d v="2024-05-09T00:00:00"/>
    <s v="C2301"/>
    <s v="P1012"/>
    <n v="5"/>
    <n v="112.61"/>
    <x v="57"/>
    <n v="168.91499999999999"/>
    <x v="2"/>
    <n v="9"/>
    <x v="2"/>
    <x v="1"/>
  </r>
  <r>
    <s v="ORD-5064"/>
    <d v="2025-09-27T00:00:00"/>
    <s v="C2143"/>
    <s v="P1022"/>
    <n v="10"/>
    <n v="195.89"/>
    <x v="58"/>
    <n v="587.66999999999996"/>
    <x v="0"/>
    <n v="27"/>
    <x v="11"/>
    <x v="0"/>
  </r>
  <r>
    <s v="ORD-5065"/>
    <d v="2025-09-24T00:00:00"/>
    <s v="C2067"/>
    <s v="P1049"/>
    <n v="4"/>
    <n v="29.94"/>
    <x v="59"/>
    <n v="35.927999999999997"/>
    <x v="1"/>
    <n v="24"/>
    <x v="11"/>
    <x v="0"/>
  </r>
  <r>
    <s v="ORD-5066"/>
    <d v="2025-04-23T00:00:00"/>
    <s v="C2181"/>
    <s v="P1008"/>
    <n v="3"/>
    <n v="68.41"/>
    <x v="60"/>
    <n v="61.568999999999996"/>
    <x v="0"/>
    <n v="23"/>
    <x v="6"/>
    <x v="0"/>
  </r>
  <r>
    <s v="ORD-5067"/>
    <d v="2024-08-16T00:00:00"/>
    <s v="C2180"/>
    <s v="P1017"/>
    <n v="3"/>
    <n v="60.32"/>
    <x v="61"/>
    <n v="54.288000000000004"/>
    <x v="0"/>
    <n v="16"/>
    <x v="9"/>
    <x v="1"/>
  </r>
  <r>
    <s v="ORD-5068"/>
    <d v="2025-03-11T00:00:00"/>
    <s v="C2283"/>
    <s v="P1020"/>
    <n v="8"/>
    <n v="24.62"/>
    <x v="62"/>
    <n v="59.088000000000001"/>
    <x v="2"/>
    <n v="11"/>
    <x v="1"/>
    <x v="0"/>
  </r>
  <r>
    <s v="ORD-5069"/>
    <d v="2025-08-20T00:00:00"/>
    <s v="C2027"/>
    <s v="P1030"/>
    <n v="8"/>
    <n v="12.47"/>
    <x v="63"/>
    <n v="29.928000000000001"/>
    <x v="3"/>
    <n v="20"/>
    <x v="9"/>
    <x v="0"/>
  </r>
  <r>
    <s v="ORD-5070"/>
    <d v="2024-06-17T00:00:00"/>
    <s v="C2434"/>
    <s v="P1038"/>
    <n v="1"/>
    <n v="86.37"/>
    <x v="26"/>
    <n v="25.911000000000001"/>
    <x v="3"/>
    <n v="17"/>
    <x v="7"/>
    <x v="1"/>
  </r>
  <r>
    <s v="ORD-5071"/>
    <d v="2024-06-26T00:00:00"/>
    <s v="C2292"/>
    <s v="P1008"/>
    <n v="5"/>
    <n v="68.41"/>
    <x v="64"/>
    <n v="102.61499999999999"/>
    <x v="1"/>
    <n v="26"/>
    <x v="7"/>
    <x v="1"/>
  </r>
  <r>
    <s v="ORD-5072"/>
    <d v="2025-03-30T00:00:00"/>
    <s v="C2245"/>
    <s v="P1024"/>
    <n v="5"/>
    <n v="180.47"/>
    <x v="65"/>
    <n v="270.70499999999998"/>
    <x v="1"/>
    <n v="30"/>
    <x v="1"/>
    <x v="0"/>
  </r>
  <r>
    <s v="ORD-5073"/>
    <d v="2025-06-19T00:00:00"/>
    <s v="C2319"/>
    <s v="P1007"/>
    <n v="5"/>
    <n v="162.96"/>
    <x v="66"/>
    <n v="244.43999999999997"/>
    <x v="0"/>
    <n v="19"/>
    <x v="7"/>
    <x v="0"/>
  </r>
  <r>
    <s v="ORD-5074"/>
    <d v="2025-02-18T00:00:00"/>
    <s v="C2383"/>
    <s v="P1023"/>
    <n v="3"/>
    <n v="157.13"/>
    <x v="67"/>
    <n v="141.417"/>
    <x v="3"/>
    <n v="18"/>
    <x v="4"/>
    <x v="0"/>
  </r>
  <r>
    <s v="ORD-5075"/>
    <d v="2024-08-14T00:00:00"/>
    <s v="C2246"/>
    <s v="P1015"/>
    <n v="2"/>
    <n v="52.45"/>
    <x v="68"/>
    <n v="31.47"/>
    <x v="0"/>
    <n v="14"/>
    <x v="9"/>
    <x v="1"/>
  </r>
  <r>
    <s v="ORD-5076"/>
    <d v="2025-06-23T00:00:00"/>
    <s v="C2351"/>
    <s v="P1020"/>
    <n v="6"/>
    <n v="24.62"/>
    <x v="69"/>
    <n v="44.315999999999995"/>
    <x v="1"/>
    <n v="23"/>
    <x v="7"/>
    <x v="0"/>
  </r>
  <r>
    <s v="ORD-5077"/>
    <d v="2025-12-13T00:00:00"/>
    <s v="C2085"/>
    <s v="P1025"/>
    <n v="4"/>
    <n v="185.22"/>
    <x v="70"/>
    <n v="222.26399999999998"/>
    <x v="2"/>
    <n v="13"/>
    <x v="5"/>
    <x v="0"/>
  </r>
  <r>
    <s v="ORD-5078"/>
    <d v="2024-02-15T00:00:00"/>
    <s v="C2140"/>
    <s v="P1036"/>
    <n v="1"/>
    <n v="53.74"/>
    <x v="71"/>
    <n v="16.122"/>
    <x v="3"/>
    <n v="15"/>
    <x v="4"/>
    <x v="1"/>
  </r>
  <r>
    <s v="ORD-5079"/>
    <d v="2025-02-15T00:00:00"/>
    <s v="C2281"/>
    <s v="P1034"/>
    <n v="1"/>
    <n v="41.45"/>
    <x v="72"/>
    <n v="12.435"/>
    <x v="3"/>
    <n v="15"/>
    <x v="4"/>
    <x v="0"/>
  </r>
  <r>
    <s v="ORD-5080"/>
    <d v="2024-03-09T00:00:00"/>
    <s v="C2424"/>
    <s v="P1004"/>
    <n v="4"/>
    <n v="28.55"/>
    <x v="73"/>
    <n v="34.26"/>
    <x v="3"/>
    <n v="9"/>
    <x v="1"/>
    <x v="1"/>
  </r>
  <r>
    <s v="ORD-5081"/>
    <d v="2025-12-03T00:00:00"/>
    <s v="C2382"/>
    <s v="P1031"/>
    <n v="3"/>
    <n v="107.88"/>
    <x v="74"/>
    <n v="97.091999999999999"/>
    <x v="1"/>
    <n v="3"/>
    <x v="5"/>
    <x v="0"/>
  </r>
  <r>
    <s v="ORD-5082"/>
    <d v="2025-05-05T00:00:00"/>
    <s v="C2205"/>
    <s v="P1012"/>
    <n v="2"/>
    <n v="112.61"/>
    <x v="75"/>
    <n v="67.566000000000003"/>
    <x v="2"/>
    <n v="5"/>
    <x v="2"/>
    <x v="0"/>
  </r>
  <r>
    <s v="ORD-5083"/>
    <d v="2024-03-03T00:00:00"/>
    <s v="C2350"/>
    <s v="P1031"/>
    <n v="2"/>
    <n v="107.88"/>
    <x v="16"/>
    <n v="64.727999999999994"/>
    <x v="2"/>
    <n v="3"/>
    <x v="1"/>
    <x v="1"/>
  </r>
  <r>
    <s v="ORD-5084"/>
    <d v="2025-07-11T00:00:00"/>
    <s v="C2230"/>
    <s v="P1034"/>
    <n v="7"/>
    <n v="41.45"/>
    <x v="76"/>
    <n v="87.044999999999987"/>
    <x v="3"/>
    <n v="11"/>
    <x v="8"/>
    <x v="0"/>
  </r>
  <r>
    <s v="ORD-5085"/>
    <d v="2025-12-27T00:00:00"/>
    <s v="C2424"/>
    <s v="P1004"/>
    <n v="5"/>
    <n v="28.55"/>
    <x v="77"/>
    <n v="42.824999999999996"/>
    <x v="1"/>
    <n v="27"/>
    <x v="5"/>
    <x v="0"/>
  </r>
  <r>
    <s v="ORD-5086"/>
    <d v="2025-07-01T00:00:00"/>
    <s v="C2423"/>
    <s v="P1006"/>
    <n v="1"/>
    <n v="17.64"/>
    <x v="78"/>
    <n v="5.2919999999999998"/>
    <x v="2"/>
    <n v="1"/>
    <x v="8"/>
    <x v="0"/>
  </r>
  <r>
    <s v="ORD-5087"/>
    <d v="2025-01-13T00:00:00"/>
    <s v="C2194"/>
    <s v="P1021"/>
    <n v="2"/>
    <n v="165.9"/>
    <x v="23"/>
    <n v="99.54"/>
    <x v="3"/>
    <n v="13"/>
    <x v="3"/>
    <x v="0"/>
  </r>
  <r>
    <s v="ORD-5088"/>
    <d v="2025-11-18T00:00:00"/>
    <s v="C2461"/>
    <s v="P1001"/>
    <n v="6"/>
    <n v="108.19"/>
    <x v="79"/>
    <n v="194.74199999999999"/>
    <x v="1"/>
    <n v="18"/>
    <x v="10"/>
    <x v="0"/>
  </r>
  <r>
    <s v="ORD-5089"/>
    <d v="2025-03-21T00:00:00"/>
    <s v="C2062"/>
    <s v="P1006"/>
    <n v="7"/>
    <n v="17.64"/>
    <x v="80"/>
    <n v="37.043999999999997"/>
    <x v="3"/>
    <n v="21"/>
    <x v="1"/>
    <x v="0"/>
  </r>
  <r>
    <s v="ORD-5090"/>
    <d v="2025-03-23T00:00:00"/>
    <s v="C2028"/>
    <s v="P1017"/>
    <n v="5"/>
    <n v="60.32"/>
    <x v="53"/>
    <n v="90.48"/>
    <x v="3"/>
    <n v="23"/>
    <x v="1"/>
    <x v="0"/>
  </r>
  <r>
    <s v="ORD-5091"/>
    <d v="2025-02-21T00:00:00"/>
    <s v="C2473"/>
    <s v="P1044"/>
    <n v="10"/>
    <n v="104.84"/>
    <x v="81"/>
    <n v="314.52000000000004"/>
    <x v="2"/>
    <n v="21"/>
    <x v="4"/>
    <x v="0"/>
  </r>
  <r>
    <s v="ORD-5092"/>
    <d v="2025-09-01T00:00:00"/>
    <s v="C2467"/>
    <s v="P1015"/>
    <n v="5"/>
    <n v="52.45"/>
    <x v="82"/>
    <n v="78.674999999999997"/>
    <x v="1"/>
    <n v="1"/>
    <x v="11"/>
    <x v="0"/>
  </r>
  <r>
    <s v="ORD-5093"/>
    <d v="2025-01-30T00:00:00"/>
    <s v="C2361"/>
    <s v="P1025"/>
    <n v="7"/>
    <n v="185.22"/>
    <x v="83"/>
    <n v="388.96199999999999"/>
    <x v="1"/>
    <n v="30"/>
    <x v="3"/>
    <x v="0"/>
  </r>
  <r>
    <s v="ORD-5094"/>
    <d v="2025-04-18T00:00:00"/>
    <s v="C2353"/>
    <s v="P1021"/>
    <n v="1"/>
    <n v="165.9"/>
    <x v="84"/>
    <n v="49.77"/>
    <x v="2"/>
    <n v="18"/>
    <x v="6"/>
    <x v="0"/>
  </r>
  <r>
    <s v="ORD-5095"/>
    <d v="2025-01-14T00:00:00"/>
    <s v="C2290"/>
    <s v="P1044"/>
    <n v="2"/>
    <n v="104.84"/>
    <x v="85"/>
    <n v="62.903999999999996"/>
    <x v="0"/>
    <n v="14"/>
    <x v="3"/>
    <x v="0"/>
  </r>
  <r>
    <s v="ORD-5096"/>
    <d v="2025-07-04T00:00:00"/>
    <s v="C2163"/>
    <s v="P1039"/>
    <n v="9"/>
    <n v="103.45"/>
    <x v="86"/>
    <n v="279.315"/>
    <x v="2"/>
    <n v="4"/>
    <x v="8"/>
    <x v="0"/>
  </r>
  <r>
    <s v="ORD-5097"/>
    <d v="2024-06-14T00:00:00"/>
    <s v="C2201"/>
    <s v="P1013"/>
    <n v="8"/>
    <n v="91.3"/>
    <x v="87"/>
    <n v="219.11999999999998"/>
    <x v="3"/>
    <n v="14"/>
    <x v="7"/>
    <x v="1"/>
  </r>
  <r>
    <s v="ORD-5098"/>
    <d v="2024-10-25T00:00:00"/>
    <s v="C2483"/>
    <s v="P1014"/>
    <n v="1"/>
    <n v="193.35"/>
    <x v="88"/>
    <n v="58.004999999999995"/>
    <x v="3"/>
    <n v="25"/>
    <x v="0"/>
    <x v="1"/>
  </r>
  <r>
    <s v="ORD-5099"/>
    <d v="2025-11-27T00:00:00"/>
    <s v="C2063"/>
    <s v="P1043"/>
    <n v="3"/>
    <n v="17.22"/>
    <x v="89"/>
    <n v="15.497999999999998"/>
    <x v="1"/>
    <n v="27"/>
    <x v="10"/>
    <x v="0"/>
  </r>
  <r>
    <s v="ORD-5100"/>
    <d v="2024-09-15T00:00:00"/>
    <s v="C2010"/>
    <s v="P1024"/>
    <n v="1"/>
    <n v="180.47"/>
    <x v="90"/>
    <n v="54.140999999999998"/>
    <x v="3"/>
    <n v="15"/>
    <x v="11"/>
    <x v="1"/>
  </r>
  <r>
    <s v="ORD-5101"/>
    <d v="2025-11-04T00:00:00"/>
    <s v="C2045"/>
    <s v="P1030"/>
    <n v="2"/>
    <n v="12.47"/>
    <x v="91"/>
    <n v="7.4820000000000002"/>
    <x v="0"/>
    <n v="4"/>
    <x v="10"/>
    <x v="0"/>
  </r>
  <r>
    <s v="ORD-5102"/>
    <d v="2024-01-05T00:00:00"/>
    <s v="C2298"/>
    <s v="P1044"/>
    <n v="7"/>
    <n v="104.84"/>
    <x v="92"/>
    <n v="220.16399999999999"/>
    <x v="2"/>
    <n v="5"/>
    <x v="3"/>
    <x v="1"/>
  </r>
  <r>
    <s v="ORD-5103"/>
    <d v="2025-10-14T00:00:00"/>
    <s v="C2038"/>
    <s v="P1041"/>
    <n v="2"/>
    <n v="28.49"/>
    <x v="40"/>
    <n v="17.093999999999998"/>
    <x v="1"/>
    <n v="14"/>
    <x v="0"/>
    <x v="0"/>
  </r>
  <r>
    <s v="ORD-5104"/>
    <d v="2024-12-10T00:00:00"/>
    <s v="C2361"/>
    <s v="P1040"/>
    <n v="4"/>
    <n v="58.12"/>
    <x v="93"/>
    <n v="69.744"/>
    <x v="1"/>
    <n v="10"/>
    <x v="5"/>
    <x v="1"/>
  </r>
  <r>
    <s v="ORD-5105"/>
    <d v="2025-11-07T00:00:00"/>
    <s v="C2496"/>
    <s v="P1048"/>
    <n v="3"/>
    <n v="20.28"/>
    <x v="94"/>
    <n v="18.251999999999999"/>
    <x v="1"/>
    <n v="7"/>
    <x v="10"/>
    <x v="0"/>
  </r>
  <r>
    <s v="ORD-5106"/>
    <d v="2025-01-28T00:00:00"/>
    <s v="C2422"/>
    <s v="P1035"/>
    <n v="1"/>
    <n v="176.31"/>
    <x v="95"/>
    <n v="52.893000000000001"/>
    <x v="2"/>
    <n v="28"/>
    <x v="3"/>
    <x v="0"/>
  </r>
  <r>
    <s v="ORD-5107"/>
    <d v="2025-04-30T00:00:00"/>
    <s v="C2193"/>
    <s v="P1022"/>
    <n v="1"/>
    <n v="195.89"/>
    <x v="96"/>
    <n v="58.766999999999996"/>
    <x v="2"/>
    <n v="30"/>
    <x v="6"/>
    <x v="0"/>
  </r>
  <r>
    <s v="ORD-5108"/>
    <d v="2024-07-28T00:00:00"/>
    <s v="C2214"/>
    <s v="P1013"/>
    <n v="8"/>
    <n v="91.3"/>
    <x v="87"/>
    <n v="219.11999999999998"/>
    <x v="0"/>
    <n v="28"/>
    <x v="8"/>
    <x v="1"/>
  </r>
  <r>
    <s v="ORD-5109"/>
    <d v="2024-08-05T00:00:00"/>
    <s v="C2086"/>
    <s v="P1027"/>
    <n v="8"/>
    <n v="134.32"/>
    <x v="97"/>
    <n v="322.36799999999999"/>
    <x v="0"/>
    <n v="5"/>
    <x v="9"/>
    <x v="1"/>
  </r>
  <r>
    <s v="ORD-5110"/>
    <d v="2024-12-30T00:00:00"/>
    <s v="C2301"/>
    <s v="P1031"/>
    <n v="8"/>
    <n v="107.88"/>
    <x v="98"/>
    <n v="258.91199999999998"/>
    <x v="3"/>
    <n v="30"/>
    <x v="5"/>
    <x v="1"/>
  </r>
  <r>
    <s v="ORD-5111"/>
    <d v="2024-03-30T00:00:00"/>
    <s v="C2198"/>
    <s v="P1042"/>
    <n v="10"/>
    <n v="35.03"/>
    <x v="99"/>
    <n v="105.09"/>
    <x v="2"/>
    <n v="30"/>
    <x v="1"/>
    <x v="1"/>
  </r>
  <r>
    <s v="ORD-5112"/>
    <d v="2025-09-12T00:00:00"/>
    <s v="C2242"/>
    <s v="P1011"/>
    <n v="6"/>
    <n v="78.92"/>
    <x v="7"/>
    <n v="142.05599999999998"/>
    <x v="2"/>
    <n v="12"/>
    <x v="11"/>
    <x v="0"/>
  </r>
  <r>
    <s v="ORD-5113"/>
    <d v="2025-09-24T00:00:00"/>
    <s v="C2037"/>
    <s v="P1031"/>
    <n v="4"/>
    <n v="107.88"/>
    <x v="100"/>
    <n v="129.45599999999999"/>
    <x v="3"/>
    <n v="24"/>
    <x v="11"/>
    <x v="0"/>
  </r>
  <r>
    <s v="ORD-5114"/>
    <d v="2024-07-10T00:00:00"/>
    <s v="C2004"/>
    <s v="P1010"/>
    <n v="1"/>
    <n v="56.18"/>
    <x v="101"/>
    <n v="16.853999999999999"/>
    <x v="3"/>
    <n v="10"/>
    <x v="8"/>
    <x v="1"/>
  </r>
  <r>
    <s v="ORD-5115"/>
    <d v="2024-01-15T00:00:00"/>
    <s v="C2409"/>
    <s v="P1024"/>
    <n v="3"/>
    <n v="180.47"/>
    <x v="102"/>
    <n v="162.42299999999997"/>
    <x v="3"/>
    <n v="15"/>
    <x v="3"/>
    <x v="1"/>
  </r>
  <r>
    <s v="ORD-5116"/>
    <d v="2024-07-07T00:00:00"/>
    <s v="C2130"/>
    <s v="P1012"/>
    <n v="2"/>
    <n v="112.61"/>
    <x v="75"/>
    <n v="67.566000000000003"/>
    <x v="1"/>
    <n v="7"/>
    <x v="8"/>
    <x v="1"/>
  </r>
  <r>
    <s v="ORD-5117"/>
    <d v="2024-02-09T00:00:00"/>
    <s v="C2055"/>
    <s v="P1019"/>
    <n v="10"/>
    <n v="182.55"/>
    <x v="103"/>
    <n v="547.65"/>
    <x v="0"/>
    <n v="9"/>
    <x v="4"/>
    <x v="1"/>
  </r>
  <r>
    <s v="ORD-5118"/>
    <d v="2024-05-04T00:00:00"/>
    <s v="C2469"/>
    <s v="P1041"/>
    <n v="1"/>
    <n v="28.49"/>
    <x v="104"/>
    <n v="8.5469999999999988"/>
    <x v="3"/>
    <n v="4"/>
    <x v="2"/>
    <x v="1"/>
  </r>
  <r>
    <s v="ORD-5119"/>
    <d v="2025-04-17T00:00:00"/>
    <s v="C2364"/>
    <s v="P1027"/>
    <n v="9"/>
    <n v="134.32"/>
    <x v="105"/>
    <n v="362.66400000000004"/>
    <x v="1"/>
    <n v="17"/>
    <x v="6"/>
    <x v="0"/>
  </r>
  <r>
    <s v="ORD-5120"/>
    <d v="2024-03-10T00:00:00"/>
    <s v="C2315"/>
    <s v="P1001"/>
    <n v="9"/>
    <n v="108.19"/>
    <x v="106"/>
    <n v="292.113"/>
    <x v="2"/>
    <n v="10"/>
    <x v="1"/>
    <x v="1"/>
  </r>
  <r>
    <s v="ORD-5121"/>
    <d v="2024-10-15T00:00:00"/>
    <s v="C2160"/>
    <s v="P1005"/>
    <n v="5"/>
    <n v="74.61"/>
    <x v="107"/>
    <n v="111.91500000000001"/>
    <x v="2"/>
    <n v="15"/>
    <x v="0"/>
    <x v="1"/>
  </r>
  <r>
    <s v="ORD-5122"/>
    <d v="2025-03-19T00:00:00"/>
    <s v="C2276"/>
    <s v="P1013"/>
    <n v="6"/>
    <n v="91.3"/>
    <x v="108"/>
    <n v="164.33999999999997"/>
    <x v="2"/>
    <n v="19"/>
    <x v="1"/>
    <x v="0"/>
  </r>
  <r>
    <s v="ORD-5123"/>
    <d v="2024-05-29T00:00:00"/>
    <s v="C2222"/>
    <s v="P1039"/>
    <n v="7"/>
    <n v="103.45"/>
    <x v="109"/>
    <n v="217.24499999999998"/>
    <x v="2"/>
    <n v="29"/>
    <x v="2"/>
    <x v="1"/>
  </r>
  <r>
    <s v="ORD-5124"/>
    <d v="2024-06-30T00:00:00"/>
    <s v="C2074"/>
    <s v="P1047"/>
    <n v="10"/>
    <n v="118.95"/>
    <x v="110"/>
    <n v="356.84999999999997"/>
    <x v="2"/>
    <n v="30"/>
    <x v="7"/>
    <x v="1"/>
  </r>
  <r>
    <s v="ORD-5125"/>
    <d v="2024-10-04T00:00:00"/>
    <s v="C2493"/>
    <s v="P1049"/>
    <n v="1"/>
    <n v="29.94"/>
    <x v="19"/>
    <n v="8.9819999999999993"/>
    <x v="3"/>
    <n v="4"/>
    <x v="0"/>
    <x v="1"/>
  </r>
  <r>
    <s v="ORD-5126"/>
    <d v="2024-10-26T00:00:00"/>
    <s v="C2441"/>
    <s v="P1019"/>
    <n v="2"/>
    <n v="182.55"/>
    <x v="111"/>
    <n v="109.53"/>
    <x v="2"/>
    <n v="26"/>
    <x v="0"/>
    <x v="1"/>
  </r>
  <r>
    <s v="ORD-5127"/>
    <d v="2025-05-18T00:00:00"/>
    <s v="C2320"/>
    <s v="P1019"/>
    <n v="1"/>
    <n v="182.55"/>
    <x v="112"/>
    <n v="54.765000000000001"/>
    <x v="1"/>
    <n v="18"/>
    <x v="2"/>
    <x v="0"/>
  </r>
  <r>
    <s v="ORD-5128"/>
    <d v="2025-10-15T00:00:00"/>
    <s v="C2011"/>
    <s v="P1041"/>
    <n v="7"/>
    <n v="28.49"/>
    <x v="113"/>
    <n v="59.829000000000001"/>
    <x v="3"/>
    <n v="15"/>
    <x v="0"/>
    <x v="0"/>
  </r>
  <r>
    <s v="ORD-5129"/>
    <d v="2024-10-27T00:00:00"/>
    <s v="C2425"/>
    <s v="P1048"/>
    <n v="9"/>
    <n v="20.28"/>
    <x v="114"/>
    <n v="54.756"/>
    <x v="2"/>
    <n v="27"/>
    <x v="0"/>
    <x v="1"/>
  </r>
  <r>
    <s v="ORD-5130"/>
    <d v="2024-09-14T00:00:00"/>
    <s v="C2377"/>
    <s v="P1029"/>
    <n v="6"/>
    <n v="162.21"/>
    <x v="115"/>
    <n v="291.97800000000001"/>
    <x v="1"/>
    <n v="14"/>
    <x v="11"/>
    <x v="1"/>
  </r>
  <r>
    <s v="ORD-5131"/>
    <d v="2025-02-02T00:00:00"/>
    <s v="C2317"/>
    <s v="P1015"/>
    <n v="6"/>
    <n v="52.45"/>
    <x v="116"/>
    <n v="94.41"/>
    <x v="3"/>
    <n v="2"/>
    <x v="4"/>
    <x v="0"/>
  </r>
  <r>
    <s v="ORD-5132"/>
    <d v="2025-01-11T00:00:00"/>
    <s v="C2367"/>
    <s v="P1023"/>
    <n v="5"/>
    <n v="157.13"/>
    <x v="117"/>
    <n v="235.69499999999999"/>
    <x v="3"/>
    <n v="11"/>
    <x v="3"/>
    <x v="0"/>
  </r>
  <r>
    <s v="ORD-5133"/>
    <d v="2024-09-14T00:00:00"/>
    <s v="C2086"/>
    <s v="P1036"/>
    <n v="4"/>
    <n v="53.74"/>
    <x v="118"/>
    <n v="64.488"/>
    <x v="0"/>
    <n v="14"/>
    <x v="11"/>
    <x v="1"/>
  </r>
  <r>
    <s v="ORD-5134"/>
    <d v="2024-07-07T00:00:00"/>
    <s v="C2471"/>
    <s v="P1018"/>
    <n v="4"/>
    <n v="38.93"/>
    <x v="119"/>
    <n v="46.716000000000001"/>
    <x v="1"/>
    <n v="7"/>
    <x v="8"/>
    <x v="1"/>
  </r>
  <r>
    <s v="ORD-5135"/>
    <d v="2024-10-02T00:00:00"/>
    <s v="C2195"/>
    <s v="P1047"/>
    <n v="3"/>
    <n v="118.95"/>
    <x v="49"/>
    <n v="107.05500000000001"/>
    <x v="2"/>
    <n v="2"/>
    <x v="0"/>
    <x v="1"/>
  </r>
  <r>
    <s v="ORD-5136"/>
    <d v="2024-12-04T00:00:00"/>
    <s v="C2324"/>
    <s v="P1015"/>
    <n v="9"/>
    <n v="52.45"/>
    <x v="120"/>
    <n v="141.61500000000001"/>
    <x v="3"/>
    <n v="4"/>
    <x v="5"/>
    <x v="1"/>
  </r>
  <r>
    <s v="ORD-5137"/>
    <d v="2025-11-20T00:00:00"/>
    <s v="C2311"/>
    <s v="P1035"/>
    <n v="1"/>
    <n v="176.31"/>
    <x v="95"/>
    <n v="52.893000000000001"/>
    <x v="1"/>
    <n v="20"/>
    <x v="10"/>
    <x v="0"/>
  </r>
  <r>
    <s v="ORD-5138"/>
    <d v="2025-01-21T00:00:00"/>
    <s v="C2192"/>
    <s v="P1048"/>
    <n v="3"/>
    <n v="20.28"/>
    <x v="94"/>
    <n v="18.251999999999999"/>
    <x v="0"/>
    <n v="21"/>
    <x v="3"/>
    <x v="0"/>
  </r>
  <r>
    <s v="ORD-5139"/>
    <d v="2024-09-18T00:00:00"/>
    <s v="C2044"/>
    <s v="P1005"/>
    <n v="7"/>
    <n v="74.61"/>
    <x v="121"/>
    <n v="156.68099999999998"/>
    <x v="1"/>
    <n v="18"/>
    <x v="11"/>
    <x v="1"/>
  </r>
  <r>
    <s v="ORD-5140"/>
    <d v="2024-10-01T00:00:00"/>
    <s v="C2176"/>
    <s v="P1034"/>
    <n v="8"/>
    <n v="41.45"/>
    <x v="122"/>
    <n v="99.48"/>
    <x v="0"/>
    <n v="1"/>
    <x v="0"/>
    <x v="1"/>
  </r>
  <r>
    <s v="ORD-5141"/>
    <d v="2025-01-12T00:00:00"/>
    <s v="C2475"/>
    <s v="P1046"/>
    <n v="7"/>
    <n v="89.24"/>
    <x v="123"/>
    <n v="187.40399999999997"/>
    <x v="0"/>
    <n v="12"/>
    <x v="3"/>
    <x v="0"/>
  </r>
  <r>
    <s v="ORD-5142"/>
    <d v="2025-04-16T00:00:00"/>
    <s v="C2193"/>
    <s v="P1022"/>
    <n v="10"/>
    <n v="195.89"/>
    <x v="58"/>
    <n v="587.66999999999996"/>
    <x v="0"/>
    <n v="16"/>
    <x v="6"/>
    <x v="0"/>
  </r>
  <r>
    <s v="ORD-5143"/>
    <d v="2025-07-27T00:00:00"/>
    <s v="C2328"/>
    <s v="P1019"/>
    <n v="8"/>
    <n v="182.55"/>
    <x v="124"/>
    <n v="438.12"/>
    <x v="3"/>
    <n v="27"/>
    <x v="8"/>
    <x v="0"/>
  </r>
  <r>
    <s v="ORD-5144"/>
    <d v="2024-05-17T00:00:00"/>
    <s v="C2145"/>
    <s v="P1045"/>
    <n v="5"/>
    <n v="115.1"/>
    <x v="125"/>
    <n v="172.65"/>
    <x v="0"/>
    <n v="17"/>
    <x v="2"/>
    <x v="1"/>
  </r>
  <r>
    <s v="ORD-5145"/>
    <d v="2025-06-26T00:00:00"/>
    <s v="C2346"/>
    <s v="P1014"/>
    <n v="10"/>
    <n v="193.35"/>
    <x v="126"/>
    <n v="580.04999999999995"/>
    <x v="3"/>
    <n v="26"/>
    <x v="7"/>
    <x v="0"/>
  </r>
  <r>
    <s v="ORD-5146"/>
    <d v="2025-06-17T00:00:00"/>
    <s v="C2189"/>
    <s v="P1008"/>
    <n v="5"/>
    <n v="68.41"/>
    <x v="64"/>
    <n v="102.61499999999999"/>
    <x v="1"/>
    <n v="17"/>
    <x v="7"/>
    <x v="0"/>
  </r>
  <r>
    <s v="ORD-5147"/>
    <d v="2024-12-16T00:00:00"/>
    <s v="C2331"/>
    <s v="P1028"/>
    <n v="9"/>
    <n v="73.89"/>
    <x v="127"/>
    <n v="199.50299999999999"/>
    <x v="2"/>
    <n v="16"/>
    <x v="5"/>
    <x v="1"/>
  </r>
  <r>
    <s v="ORD-5148"/>
    <d v="2025-06-19T00:00:00"/>
    <s v="C2271"/>
    <s v="P1046"/>
    <n v="1"/>
    <n v="89.24"/>
    <x v="128"/>
    <n v="26.771999999999998"/>
    <x v="1"/>
    <n v="19"/>
    <x v="7"/>
    <x v="0"/>
  </r>
  <r>
    <s v="ORD-5149"/>
    <d v="2025-06-22T00:00:00"/>
    <s v="C2127"/>
    <s v="P1011"/>
    <n v="5"/>
    <n v="78.92"/>
    <x v="129"/>
    <n v="118.38"/>
    <x v="2"/>
    <n v="22"/>
    <x v="7"/>
    <x v="0"/>
  </r>
  <r>
    <s v="ORD-5150"/>
    <d v="2025-04-03T00:00:00"/>
    <s v="C2350"/>
    <s v="P1024"/>
    <n v="6"/>
    <n v="180.47"/>
    <x v="130"/>
    <n v="324.84599999999995"/>
    <x v="0"/>
    <n v="3"/>
    <x v="6"/>
    <x v="0"/>
  </r>
  <r>
    <s v="ORD-5151"/>
    <d v="2024-12-03T00:00:00"/>
    <s v="C2125"/>
    <s v="P1037"/>
    <n v="8"/>
    <n v="49.95"/>
    <x v="33"/>
    <n v="119.88"/>
    <x v="0"/>
    <n v="3"/>
    <x v="5"/>
    <x v="1"/>
  </r>
  <r>
    <s v="ORD-5152"/>
    <d v="2025-05-14T00:00:00"/>
    <s v="C2109"/>
    <s v="P1030"/>
    <n v="10"/>
    <n v="12.47"/>
    <x v="131"/>
    <n v="37.409999999999997"/>
    <x v="1"/>
    <n v="14"/>
    <x v="2"/>
    <x v="0"/>
  </r>
  <r>
    <s v="ORD-5153"/>
    <d v="2024-12-27T00:00:00"/>
    <s v="C2390"/>
    <s v="P1032"/>
    <n v="4"/>
    <n v="52.52"/>
    <x v="132"/>
    <n v="63.024000000000001"/>
    <x v="3"/>
    <n v="27"/>
    <x v="5"/>
    <x v="1"/>
  </r>
  <r>
    <s v="ORD-5154"/>
    <d v="2025-05-23T00:00:00"/>
    <s v="C2027"/>
    <s v="P1045"/>
    <n v="3"/>
    <n v="115.1"/>
    <x v="133"/>
    <n v="103.59"/>
    <x v="1"/>
    <n v="23"/>
    <x v="2"/>
    <x v="0"/>
  </r>
  <r>
    <s v="ORD-5155"/>
    <d v="2025-03-12T00:00:00"/>
    <s v="C2350"/>
    <s v="P1036"/>
    <n v="1"/>
    <n v="53.74"/>
    <x v="71"/>
    <n v="16.122"/>
    <x v="2"/>
    <n v="12"/>
    <x v="1"/>
    <x v="0"/>
  </r>
  <r>
    <s v="ORD-5156"/>
    <d v="2025-08-27T00:00:00"/>
    <s v="C2189"/>
    <s v="P1043"/>
    <n v="4"/>
    <n v="17.22"/>
    <x v="134"/>
    <n v="20.663999999999998"/>
    <x v="3"/>
    <n v="27"/>
    <x v="9"/>
    <x v="0"/>
  </r>
  <r>
    <s v="ORD-5157"/>
    <d v="2024-01-02T00:00:00"/>
    <s v="C2263"/>
    <s v="P1025"/>
    <n v="5"/>
    <n v="185.22"/>
    <x v="135"/>
    <n v="277.83"/>
    <x v="3"/>
    <n v="2"/>
    <x v="3"/>
    <x v="1"/>
  </r>
  <r>
    <s v="ORD-5158"/>
    <d v="2025-10-26T00:00:00"/>
    <s v="C2109"/>
    <s v="P1014"/>
    <n v="1"/>
    <n v="193.35"/>
    <x v="88"/>
    <n v="58.004999999999995"/>
    <x v="2"/>
    <n v="26"/>
    <x v="0"/>
    <x v="0"/>
  </r>
  <r>
    <s v="ORD-5159"/>
    <d v="2025-04-29T00:00:00"/>
    <s v="C2381"/>
    <s v="P1026"/>
    <n v="3"/>
    <n v="64.62"/>
    <x v="136"/>
    <n v="58.158000000000001"/>
    <x v="0"/>
    <n v="29"/>
    <x v="6"/>
    <x v="0"/>
  </r>
  <r>
    <s v="ORD-5160"/>
    <d v="2024-09-06T00:00:00"/>
    <s v="C2288"/>
    <s v="P1041"/>
    <n v="1"/>
    <n v="28.49"/>
    <x v="104"/>
    <n v="8.5469999999999988"/>
    <x v="2"/>
    <n v="6"/>
    <x v="11"/>
    <x v="1"/>
  </r>
  <r>
    <s v="ORD-5161"/>
    <d v="2024-03-09T00:00:00"/>
    <s v="C2021"/>
    <s v="P1010"/>
    <n v="7"/>
    <n v="56.18"/>
    <x v="137"/>
    <n v="117.97799999999999"/>
    <x v="0"/>
    <n v="9"/>
    <x v="1"/>
    <x v="1"/>
  </r>
  <r>
    <s v="ORD-5162"/>
    <d v="2024-01-03T00:00:00"/>
    <s v="C2296"/>
    <s v="P1044"/>
    <n v="5"/>
    <n v="104.84"/>
    <x v="138"/>
    <n v="157.26000000000002"/>
    <x v="2"/>
    <n v="3"/>
    <x v="3"/>
    <x v="1"/>
  </r>
  <r>
    <s v="ORD-5163"/>
    <d v="2025-04-21T00:00:00"/>
    <s v="C2165"/>
    <s v="P1045"/>
    <n v="2"/>
    <n v="115.1"/>
    <x v="139"/>
    <n v="69.059999999999988"/>
    <x v="3"/>
    <n v="21"/>
    <x v="6"/>
    <x v="0"/>
  </r>
  <r>
    <s v="ORD-5164"/>
    <d v="2024-12-27T00:00:00"/>
    <s v="C2457"/>
    <s v="P1016"/>
    <n v="6"/>
    <n v="34.369999999999997"/>
    <x v="140"/>
    <n v="61.866"/>
    <x v="3"/>
    <n v="27"/>
    <x v="5"/>
    <x v="1"/>
  </r>
  <r>
    <s v="ORD-5165"/>
    <d v="2024-08-02T00:00:00"/>
    <s v="C2319"/>
    <s v="P1012"/>
    <n v="3"/>
    <n v="112.61"/>
    <x v="141"/>
    <n v="101.34899999999999"/>
    <x v="2"/>
    <n v="2"/>
    <x v="9"/>
    <x v="1"/>
  </r>
  <r>
    <s v="ORD-5166"/>
    <d v="2025-08-12T00:00:00"/>
    <s v="C2274"/>
    <s v="P1034"/>
    <n v="3"/>
    <n v="41.45"/>
    <x v="142"/>
    <n v="37.305"/>
    <x v="1"/>
    <n v="12"/>
    <x v="9"/>
    <x v="0"/>
  </r>
  <r>
    <s v="ORD-5167"/>
    <d v="2025-07-24T00:00:00"/>
    <s v="C2126"/>
    <s v="P1018"/>
    <n v="5"/>
    <n v="38.93"/>
    <x v="143"/>
    <n v="58.394999999999996"/>
    <x v="1"/>
    <n v="24"/>
    <x v="8"/>
    <x v="0"/>
  </r>
  <r>
    <s v="ORD-5168"/>
    <d v="2025-09-27T00:00:00"/>
    <s v="C2328"/>
    <s v="P1007"/>
    <n v="9"/>
    <n v="162.96"/>
    <x v="31"/>
    <n v="439.99200000000002"/>
    <x v="1"/>
    <n v="27"/>
    <x v="11"/>
    <x v="0"/>
  </r>
  <r>
    <s v="ORD-5169"/>
    <d v="2024-08-07T00:00:00"/>
    <s v="C2296"/>
    <s v="P1025"/>
    <n v="6"/>
    <n v="185.22"/>
    <x v="28"/>
    <n v="333.39599999999996"/>
    <x v="1"/>
    <n v="7"/>
    <x v="9"/>
    <x v="1"/>
  </r>
  <r>
    <s v="ORD-5170"/>
    <d v="2024-09-29T00:00:00"/>
    <s v="C2219"/>
    <s v="P1018"/>
    <n v="9"/>
    <n v="38.93"/>
    <x v="144"/>
    <n v="105.111"/>
    <x v="1"/>
    <n v="29"/>
    <x v="11"/>
    <x v="1"/>
  </r>
  <r>
    <s v="ORD-5171"/>
    <d v="2024-11-16T00:00:00"/>
    <s v="C2398"/>
    <s v="P1018"/>
    <n v="6"/>
    <n v="38.93"/>
    <x v="145"/>
    <n v="70.073999999999998"/>
    <x v="1"/>
    <n v="16"/>
    <x v="10"/>
    <x v="1"/>
  </r>
  <r>
    <s v="ORD-5172"/>
    <d v="2024-07-26T00:00:00"/>
    <s v="C2130"/>
    <s v="P1017"/>
    <n v="9"/>
    <n v="60.32"/>
    <x v="146"/>
    <n v="162.864"/>
    <x v="0"/>
    <n v="26"/>
    <x v="8"/>
    <x v="1"/>
  </r>
  <r>
    <s v="ORD-5173"/>
    <d v="2025-12-20T00:00:00"/>
    <s v="C2459"/>
    <s v="P1044"/>
    <n v="8"/>
    <n v="104.84"/>
    <x v="147"/>
    <n v="251.61599999999999"/>
    <x v="3"/>
    <n v="20"/>
    <x v="5"/>
    <x v="0"/>
  </r>
  <r>
    <s v="ORD-5174"/>
    <d v="2025-08-02T00:00:00"/>
    <s v="C2443"/>
    <s v="P1030"/>
    <n v="9"/>
    <n v="12.47"/>
    <x v="148"/>
    <n v="33.668999999999997"/>
    <x v="1"/>
    <n v="2"/>
    <x v="9"/>
    <x v="0"/>
  </r>
  <r>
    <s v="ORD-5175"/>
    <d v="2025-03-17T00:00:00"/>
    <s v="C2444"/>
    <s v="P1025"/>
    <n v="8"/>
    <n v="185.22"/>
    <x v="149"/>
    <n v="444.52799999999996"/>
    <x v="3"/>
    <n v="17"/>
    <x v="1"/>
    <x v="0"/>
  </r>
  <r>
    <s v="ORD-5176"/>
    <d v="2024-04-25T00:00:00"/>
    <s v="C2455"/>
    <s v="P1026"/>
    <n v="9"/>
    <n v="64.62"/>
    <x v="150"/>
    <n v="174.47400000000002"/>
    <x v="2"/>
    <n v="25"/>
    <x v="6"/>
    <x v="1"/>
  </r>
  <r>
    <s v="ORD-5177"/>
    <d v="2025-04-04T00:00:00"/>
    <s v="C2025"/>
    <s v="P1050"/>
    <n v="1"/>
    <n v="48.76"/>
    <x v="30"/>
    <n v="14.627999999999998"/>
    <x v="3"/>
    <n v="4"/>
    <x v="6"/>
    <x v="0"/>
  </r>
  <r>
    <s v="ORD-5178"/>
    <d v="2025-11-20T00:00:00"/>
    <s v="C2044"/>
    <s v="P1018"/>
    <n v="1"/>
    <n v="38.93"/>
    <x v="151"/>
    <n v="11.679"/>
    <x v="2"/>
    <n v="20"/>
    <x v="10"/>
    <x v="0"/>
  </r>
  <r>
    <s v="ORD-5179"/>
    <d v="2024-01-23T00:00:00"/>
    <s v="C2482"/>
    <s v="P1033"/>
    <n v="3"/>
    <n v="18.850000000000001"/>
    <x v="152"/>
    <n v="16.965"/>
    <x v="0"/>
    <n v="23"/>
    <x v="3"/>
    <x v="1"/>
  </r>
  <r>
    <s v="ORD-5180"/>
    <d v="2025-09-24T00:00:00"/>
    <s v="C2440"/>
    <s v="P1046"/>
    <n v="5"/>
    <n v="89.24"/>
    <x v="153"/>
    <n v="133.85999999999999"/>
    <x v="0"/>
    <n v="24"/>
    <x v="11"/>
    <x v="0"/>
  </r>
  <r>
    <s v="ORD-5181"/>
    <d v="2025-02-11T00:00:00"/>
    <s v="C2192"/>
    <s v="P1020"/>
    <n v="9"/>
    <n v="24.62"/>
    <x v="154"/>
    <n v="66.474000000000004"/>
    <x v="2"/>
    <n v="11"/>
    <x v="4"/>
    <x v="0"/>
  </r>
  <r>
    <s v="ORD-5182"/>
    <d v="2024-05-08T00:00:00"/>
    <s v="C2494"/>
    <s v="P1005"/>
    <n v="4"/>
    <n v="74.61"/>
    <x v="155"/>
    <n v="89.531999999999996"/>
    <x v="0"/>
    <n v="8"/>
    <x v="2"/>
    <x v="1"/>
  </r>
  <r>
    <s v="ORD-5183"/>
    <d v="2024-06-19T00:00:00"/>
    <s v="C2115"/>
    <s v="P1028"/>
    <n v="1"/>
    <n v="73.89"/>
    <x v="156"/>
    <n v="22.166999999999998"/>
    <x v="2"/>
    <n v="19"/>
    <x v="7"/>
    <x v="1"/>
  </r>
  <r>
    <s v="ORD-5184"/>
    <d v="2025-07-18T00:00:00"/>
    <s v="C2189"/>
    <s v="P1013"/>
    <n v="2"/>
    <n v="91.3"/>
    <x v="35"/>
    <n v="54.779999999999994"/>
    <x v="1"/>
    <n v="18"/>
    <x v="8"/>
    <x v="0"/>
  </r>
  <r>
    <s v="ORD-5185"/>
    <d v="2024-01-12T00:00:00"/>
    <s v="C2428"/>
    <s v="P1036"/>
    <n v="5"/>
    <n v="53.74"/>
    <x v="157"/>
    <n v="80.61"/>
    <x v="0"/>
    <n v="12"/>
    <x v="3"/>
    <x v="1"/>
  </r>
  <r>
    <s v="ORD-5186"/>
    <d v="2025-09-02T00:00:00"/>
    <s v="C2392"/>
    <s v="P1042"/>
    <n v="1"/>
    <n v="35.03"/>
    <x v="158"/>
    <n v="10.509"/>
    <x v="1"/>
    <n v="2"/>
    <x v="11"/>
    <x v="0"/>
  </r>
  <r>
    <s v="ORD-5187"/>
    <d v="2025-06-12T00:00:00"/>
    <s v="C2201"/>
    <s v="P1021"/>
    <n v="9"/>
    <n v="165.9"/>
    <x v="159"/>
    <n v="447.92999999999995"/>
    <x v="1"/>
    <n v="12"/>
    <x v="7"/>
    <x v="0"/>
  </r>
  <r>
    <s v="ORD-5188"/>
    <d v="2025-08-07T00:00:00"/>
    <s v="C2373"/>
    <s v="P1030"/>
    <n v="6"/>
    <n v="12.47"/>
    <x v="160"/>
    <n v="22.445999999999998"/>
    <x v="3"/>
    <n v="7"/>
    <x v="9"/>
    <x v="0"/>
  </r>
  <r>
    <s v="ORD-5189"/>
    <d v="2024-10-19T00:00:00"/>
    <s v="C2395"/>
    <s v="P1045"/>
    <n v="9"/>
    <n v="115.1"/>
    <x v="161"/>
    <n v="310.77000000000004"/>
    <x v="0"/>
    <n v="19"/>
    <x v="0"/>
    <x v="1"/>
  </r>
  <r>
    <s v="ORD-5190"/>
    <d v="2025-01-11T00:00:00"/>
    <s v="C2213"/>
    <s v="P1034"/>
    <n v="8"/>
    <n v="41.45"/>
    <x v="122"/>
    <n v="99.48"/>
    <x v="2"/>
    <n v="11"/>
    <x v="3"/>
    <x v="0"/>
  </r>
  <r>
    <s v="ORD-5191"/>
    <d v="2025-07-24T00:00:00"/>
    <s v="C2366"/>
    <s v="P1031"/>
    <n v="6"/>
    <n v="107.88"/>
    <x v="162"/>
    <n v="194.184"/>
    <x v="0"/>
    <n v="24"/>
    <x v="8"/>
    <x v="0"/>
  </r>
  <r>
    <s v="ORD-5192"/>
    <d v="2025-11-20T00:00:00"/>
    <s v="C2346"/>
    <s v="P1034"/>
    <n v="9"/>
    <n v="41.45"/>
    <x v="107"/>
    <n v="111.91500000000001"/>
    <x v="1"/>
    <n v="20"/>
    <x v="10"/>
    <x v="0"/>
  </r>
  <r>
    <s v="ORD-5193"/>
    <d v="2024-09-23T00:00:00"/>
    <s v="C2373"/>
    <s v="P1045"/>
    <n v="2"/>
    <n v="115.1"/>
    <x v="139"/>
    <n v="69.059999999999988"/>
    <x v="3"/>
    <n v="23"/>
    <x v="11"/>
    <x v="1"/>
  </r>
  <r>
    <s v="ORD-5194"/>
    <d v="2024-05-14T00:00:00"/>
    <s v="C2274"/>
    <s v="P1018"/>
    <n v="7"/>
    <n v="38.93"/>
    <x v="163"/>
    <n v="81.753"/>
    <x v="3"/>
    <n v="14"/>
    <x v="2"/>
    <x v="1"/>
  </r>
  <r>
    <s v="ORD-5195"/>
    <d v="2024-02-10T00:00:00"/>
    <s v="C2361"/>
    <s v="P1033"/>
    <n v="8"/>
    <n v="18.850000000000001"/>
    <x v="164"/>
    <n v="45.24"/>
    <x v="0"/>
    <n v="10"/>
    <x v="4"/>
    <x v="1"/>
  </r>
  <r>
    <s v="ORD-5196"/>
    <d v="2024-11-30T00:00:00"/>
    <s v="C2046"/>
    <s v="P1003"/>
    <n v="7"/>
    <n v="29.47"/>
    <x v="55"/>
    <n v="61.886999999999993"/>
    <x v="0"/>
    <n v="30"/>
    <x v="10"/>
    <x v="1"/>
  </r>
  <r>
    <s v="ORD-5197"/>
    <d v="2025-02-15T00:00:00"/>
    <s v="C2475"/>
    <s v="P1033"/>
    <n v="2"/>
    <n v="18.850000000000001"/>
    <x v="165"/>
    <n v="11.31"/>
    <x v="3"/>
    <n v="15"/>
    <x v="4"/>
    <x v="0"/>
  </r>
  <r>
    <s v="ORD-5198"/>
    <d v="2024-06-09T00:00:00"/>
    <s v="C2111"/>
    <s v="P1018"/>
    <n v="4"/>
    <n v="38.93"/>
    <x v="119"/>
    <n v="46.716000000000001"/>
    <x v="1"/>
    <n v="9"/>
    <x v="7"/>
    <x v="1"/>
  </r>
  <r>
    <s v="ORD-5199"/>
    <d v="2024-07-15T00:00:00"/>
    <s v="C2426"/>
    <s v="P1050"/>
    <n v="8"/>
    <n v="48.76"/>
    <x v="166"/>
    <n v="117.02399999999999"/>
    <x v="0"/>
    <n v="15"/>
    <x v="8"/>
    <x v="1"/>
  </r>
  <r>
    <s v="ORD-5200"/>
    <d v="2024-12-05T00:00:00"/>
    <s v="C2018"/>
    <s v="P1011"/>
    <n v="1"/>
    <n v="78.92"/>
    <x v="167"/>
    <n v="23.675999999999998"/>
    <x v="2"/>
    <n v="5"/>
    <x v="5"/>
    <x v="1"/>
  </r>
  <r>
    <s v="ORD-5201"/>
    <d v="2025-05-06T00:00:00"/>
    <s v="C2280"/>
    <s v="P1006"/>
    <n v="4"/>
    <n v="17.64"/>
    <x v="168"/>
    <n v="21.167999999999999"/>
    <x v="3"/>
    <n v="6"/>
    <x v="2"/>
    <x v="0"/>
  </r>
  <r>
    <s v="ORD-5202"/>
    <d v="2024-03-24T00:00:00"/>
    <s v="C2133"/>
    <s v="P1019"/>
    <n v="9"/>
    <n v="182.55"/>
    <x v="169"/>
    <n v="492.88499999999999"/>
    <x v="0"/>
    <n v="24"/>
    <x v="1"/>
    <x v="1"/>
  </r>
  <r>
    <s v="ORD-5203"/>
    <d v="2024-07-25T00:00:00"/>
    <s v="C2355"/>
    <s v="P1015"/>
    <n v="9"/>
    <n v="52.45"/>
    <x v="120"/>
    <n v="141.61500000000001"/>
    <x v="1"/>
    <n v="25"/>
    <x v="8"/>
    <x v="1"/>
  </r>
  <r>
    <s v="ORD-5204"/>
    <d v="2025-11-14T00:00:00"/>
    <s v="C2395"/>
    <s v="P1026"/>
    <n v="5"/>
    <n v="64.62"/>
    <x v="170"/>
    <n v="96.93"/>
    <x v="1"/>
    <n v="14"/>
    <x v="10"/>
    <x v="0"/>
  </r>
  <r>
    <s v="ORD-5205"/>
    <d v="2024-10-16T00:00:00"/>
    <s v="C2305"/>
    <s v="P1030"/>
    <n v="2"/>
    <n v="12.47"/>
    <x v="91"/>
    <n v="7.4820000000000002"/>
    <x v="3"/>
    <n v="16"/>
    <x v="0"/>
    <x v="1"/>
  </r>
  <r>
    <s v="ORD-5206"/>
    <d v="2025-06-12T00:00:00"/>
    <s v="C2198"/>
    <s v="P1010"/>
    <n v="10"/>
    <n v="56.18"/>
    <x v="171"/>
    <n v="168.54"/>
    <x v="1"/>
    <n v="12"/>
    <x v="7"/>
    <x v="0"/>
  </r>
  <r>
    <s v="ORD-5207"/>
    <d v="2025-06-01T00:00:00"/>
    <s v="C2494"/>
    <s v="P1049"/>
    <n v="9"/>
    <n v="29.94"/>
    <x v="172"/>
    <n v="80.837999999999994"/>
    <x v="0"/>
    <n v="1"/>
    <x v="7"/>
    <x v="0"/>
  </r>
  <r>
    <s v="ORD-5208"/>
    <d v="2024-07-21T00:00:00"/>
    <s v="C2084"/>
    <s v="P1004"/>
    <n v="4"/>
    <n v="28.55"/>
    <x v="73"/>
    <n v="34.26"/>
    <x v="0"/>
    <n v="21"/>
    <x v="8"/>
    <x v="1"/>
  </r>
  <r>
    <s v="ORD-5209"/>
    <d v="2024-12-16T00:00:00"/>
    <s v="C2291"/>
    <s v="P1003"/>
    <n v="9"/>
    <n v="29.47"/>
    <x v="173"/>
    <n v="79.569000000000003"/>
    <x v="0"/>
    <n v="16"/>
    <x v="5"/>
    <x v="1"/>
  </r>
  <r>
    <s v="ORD-5210"/>
    <d v="2025-12-16T00:00:00"/>
    <s v="C2279"/>
    <s v="P1003"/>
    <n v="5"/>
    <n v="29.47"/>
    <x v="174"/>
    <n v="44.204999999999998"/>
    <x v="1"/>
    <n v="16"/>
    <x v="5"/>
    <x v="0"/>
  </r>
  <r>
    <s v="ORD-5211"/>
    <d v="2024-11-17T00:00:00"/>
    <s v="C2440"/>
    <s v="P1049"/>
    <n v="1"/>
    <n v="29.94"/>
    <x v="19"/>
    <n v="8.9819999999999993"/>
    <x v="0"/>
    <n v="17"/>
    <x v="10"/>
    <x v="1"/>
  </r>
  <r>
    <s v="ORD-5212"/>
    <d v="2024-04-04T00:00:00"/>
    <s v="C2091"/>
    <s v="P1012"/>
    <n v="10"/>
    <n v="112.61"/>
    <x v="175"/>
    <n v="337.83"/>
    <x v="3"/>
    <n v="4"/>
    <x v="6"/>
    <x v="1"/>
  </r>
  <r>
    <s v="ORD-5213"/>
    <d v="2024-08-25T00:00:00"/>
    <s v="C2020"/>
    <s v="P1014"/>
    <n v="5"/>
    <n v="193.35"/>
    <x v="176"/>
    <n v="290.02499999999998"/>
    <x v="1"/>
    <n v="25"/>
    <x v="9"/>
    <x v="1"/>
  </r>
  <r>
    <s v="ORD-5214"/>
    <d v="2024-07-28T00:00:00"/>
    <s v="C2274"/>
    <s v="P1026"/>
    <n v="3"/>
    <n v="64.62"/>
    <x v="136"/>
    <n v="58.158000000000001"/>
    <x v="1"/>
    <n v="28"/>
    <x v="8"/>
    <x v="1"/>
  </r>
  <r>
    <s v="ORD-5215"/>
    <d v="2024-08-06T00:00:00"/>
    <s v="C2448"/>
    <s v="P1036"/>
    <n v="7"/>
    <n v="53.74"/>
    <x v="177"/>
    <n v="112.854"/>
    <x v="2"/>
    <n v="6"/>
    <x v="9"/>
    <x v="1"/>
  </r>
  <r>
    <s v="ORD-5216"/>
    <d v="2024-02-27T00:00:00"/>
    <s v="C2033"/>
    <s v="P1012"/>
    <n v="6"/>
    <n v="112.61"/>
    <x v="0"/>
    <n v="202.69799999999998"/>
    <x v="1"/>
    <n v="27"/>
    <x v="4"/>
    <x v="1"/>
  </r>
  <r>
    <s v="ORD-5217"/>
    <d v="2024-03-04T00:00:00"/>
    <s v="C2321"/>
    <s v="P1044"/>
    <n v="10"/>
    <n v="104.84"/>
    <x v="81"/>
    <n v="314.52000000000004"/>
    <x v="2"/>
    <n v="4"/>
    <x v="1"/>
    <x v="1"/>
  </r>
  <r>
    <s v="ORD-5218"/>
    <d v="2025-03-04T00:00:00"/>
    <s v="C2045"/>
    <s v="P1010"/>
    <n v="6"/>
    <n v="56.18"/>
    <x v="178"/>
    <n v="101.124"/>
    <x v="2"/>
    <n v="4"/>
    <x v="1"/>
    <x v="0"/>
  </r>
  <r>
    <s v="ORD-5219"/>
    <d v="2025-07-08T00:00:00"/>
    <s v="C2310"/>
    <s v="P1047"/>
    <n v="9"/>
    <n v="118.95"/>
    <x v="179"/>
    <n v="321.16499999999996"/>
    <x v="3"/>
    <n v="8"/>
    <x v="8"/>
    <x v="0"/>
  </r>
  <r>
    <s v="ORD-5220"/>
    <d v="2025-01-22T00:00:00"/>
    <s v="C2034"/>
    <s v="P1004"/>
    <n v="7"/>
    <n v="28.55"/>
    <x v="43"/>
    <n v="59.954999999999998"/>
    <x v="1"/>
    <n v="22"/>
    <x v="3"/>
    <x v="0"/>
  </r>
  <r>
    <s v="ORD-5221"/>
    <d v="2025-12-08T00:00:00"/>
    <s v="C2346"/>
    <s v="P1031"/>
    <n v="7"/>
    <n v="107.88"/>
    <x v="180"/>
    <n v="226.54799999999997"/>
    <x v="3"/>
    <n v="8"/>
    <x v="5"/>
    <x v="0"/>
  </r>
  <r>
    <s v="ORD-5222"/>
    <d v="2025-11-05T00:00:00"/>
    <s v="C2030"/>
    <s v="P1027"/>
    <n v="1"/>
    <n v="134.32"/>
    <x v="181"/>
    <n v="40.295999999999999"/>
    <x v="0"/>
    <n v="5"/>
    <x v="10"/>
    <x v="0"/>
  </r>
  <r>
    <s v="ORD-5223"/>
    <d v="2025-04-13T00:00:00"/>
    <s v="C2442"/>
    <s v="P1007"/>
    <n v="3"/>
    <n v="162.96"/>
    <x v="182"/>
    <n v="146.66399999999999"/>
    <x v="3"/>
    <n v="13"/>
    <x v="6"/>
    <x v="0"/>
  </r>
  <r>
    <s v="ORD-5224"/>
    <d v="2025-09-10T00:00:00"/>
    <s v="C2376"/>
    <s v="P1002"/>
    <n v="4"/>
    <n v="89.88"/>
    <x v="183"/>
    <n v="107.85599999999999"/>
    <x v="2"/>
    <n v="10"/>
    <x v="11"/>
    <x v="0"/>
  </r>
  <r>
    <s v="ORD-5225"/>
    <d v="2025-11-22T00:00:00"/>
    <s v="C2206"/>
    <s v="P1022"/>
    <n v="4"/>
    <n v="195.89"/>
    <x v="184"/>
    <n v="235.06799999999998"/>
    <x v="3"/>
    <n v="22"/>
    <x v="10"/>
    <x v="0"/>
  </r>
  <r>
    <s v="ORD-5226"/>
    <d v="2025-03-19T00:00:00"/>
    <s v="C2076"/>
    <s v="P1026"/>
    <n v="9"/>
    <n v="64.62"/>
    <x v="150"/>
    <n v="174.47400000000002"/>
    <x v="3"/>
    <n v="19"/>
    <x v="1"/>
    <x v="0"/>
  </r>
  <r>
    <s v="ORD-5227"/>
    <d v="2024-06-10T00:00:00"/>
    <s v="C2038"/>
    <s v="P1029"/>
    <n v="10"/>
    <n v="162.21"/>
    <x v="45"/>
    <n v="486.62999999999994"/>
    <x v="3"/>
    <n v="10"/>
    <x v="7"/>
    <x v="1"/>
  </r>
  <r>
    <s v="ORD-5228"/>
    <d v="2025-08-29T00:00:00"/>
    <s v="C2049"/>
    <s v="P1037"/>
    <n v="6"/>
    <n v="49.95"/>
    <x v="185"/>
    <n v="89.91"/>
    <x v="1"/>
    <n v="29"/>
    <x v="9"/>
    <x v="0"/>
  </r>
  <r>
    <s v="ORD-5229"/>
    <d v="2025-08-11T00:00:00"/>
    <s v="C2020"/>
    <s v="P1050"/>
    <n v="6"/>
    <n v="48.76"/>
    <x v="186"/>
    <n v="87.768000000000001"/>
    <x v="0"/>
    <n v="11"/>
    <x v="9"/>
    <x v="0"/>
  </r>
  <r>
    <s v="ORD-5230"/>
    <d v="2024-04-08T00:00:00"/>
    <s v="C2060"/>
    <s v="P1027"/>
    <n v="9"/>
    <n v="134.32"/>
    <x v="105"/>
    <n v="362.66400000000004"/>
    <x v="1"/>
    <n v="8"/>
    <x v="6"/>
    <x v="1"/>
  </r>
  <r>
    <s v="ORD-5231"/>
    <d v="2025-05-26T00:00:00"/>
    <s v="C2297"/>
    <s v="P1050"/>
    <n v="2"/>
    <n v="48.76"/>
    <x v="187"/>
    <n v="29.255999999999997"/>
    <x v="3"/>
    <n v="26"/>
    <x v="2"/>
    <x v="0"/>
  </r>
  <r>
    <s v="ORD-5232"/>
    <d v="2024-05-29T00:00:00"/>
    <s v="C2487"/>
    <s v="P1005"/>
    <n v="9"/>
    <n v="74.61"/>
    <x v="188"/>
    <n v="201.447"/>
    <x v="0"/>
    <n v="29"/>
    <x v="2"/>
    <x v="1"/>
  </r>
  <r>
    <s v="ORD-5233"/>
    <d v="2024-05-13T00:00:00"/>
    <s v="C2029"/>
    <s v="P1044"/>
    <n v="1"/>
    <n v="104.84"/>
    <x v="189"/>
    <n v="31.451999999999998"/>
    <x v="2"/>
    <n v="13"/>
    <x v="2"/>
    <x v="1"/>
  </r>
  <r>
    <s v="ORD-5234"/>
    <d v="2024-12-04T00:00:00"/>
    <s v="C2459"/>
    <s v="P1001"/>
    <n v="2"/>
    <n v="108.19"/>
    <x v="190"/>
    <n v="64.914000000000001"/>
    <x v="2"/>
    <n v="4"/>
    <x v="5"/>
    <x v="1"/>
  </r>
  <r>
    <s v="ORD-5235"/>
    <d v="2024-09-08T00:00:00"/>
    <s v="C2377"/>
    <s v="P1028"/>
    <n v="4"/>
    <n v="73.89"/>
    <x v="191"/>
    <n v="88.667999999999992"/>
    <x v="2"/>
    <n v="8"/>
    <x v="11"/>
    <x v="1"/>
  </r>
  <r>
    <s v="ORD-5236"/>
    <d v="2025-10-20T00:00:00"/>
    <s v="C2292"/>
    <s v="P1028"/>
    <n v="6"/>
    <n v="73.89"/>
    <x v="192"/>
    <n v="133.00199999999998"/>
    <x v="2"/>
    <n v="20"/>
    <x v="0"/>
    <x v="0"/>
  </r>
  <r>
    <s v="ORD-5237"/>
    <d v="2024-04-29T00:00:00"/>
    <s v="C2123"/>
    <s v="P1008"/>
    <n v="6"/>
    <n v="68.41"/>
    <x v="193"/>
    <n v="123.13799999999999"/>
    <x v="2"/>
    <n v="29"/>
    <x v="6"/>
    <x v="1"/>
  </r>
  <r>
    <s v="ORD-5238"/>
    <d v="2025-01-16T00:00:00"/>
    <s v="C2150"/>
    <s v="P1014"/>
    <n v="1"/>
    <n v="193.35"/>
    <x v="88"/>
    <n v="58.004999999999995"/>
    <x v="3"/>
    <n v="16"/>
    <x v="3"/>
    <x v="0"/>
  </r>
  <r>
    <s v="ORD-5239"/>
    <d v="2025-01-01T00:00:00"/>
    <s v="C2217"/>
    <s v="P1047"/>
    <n v="5"/>
    <n v="118.95"/>
    <x v="194"/>
    <n v="178.42499999999998"/>
    <x v="1"/>
    <n v="1"/>
    <x v="3"/>
    <x v="0"/>
  </r>
  <r>
    <s v="ORD-5240"/>
    <d v="2024-06-22T00:00:00"/>
    <s v="C2328"/>
    <s v="P1040"/>
    <n v="3"/>
    <n v="58.12"/>
    <x v="195"/>
    <n v="52.308"/>
    <x v="2"/>
    <n v="22"/>
    <x v="7"/>
    <x v="1"/>
  </r>
  <r>
    <s v="ORD-5241"/>
    <d v="2024-05-30T00:00:00"/>
    <s v="C2076"/>
    <s v="P1009"/>
    <n v="4"/>
    <n v="134.61000000000001"/>
    <x v="196"/>
    <n v="161.53200000000001"/>
    <x v="2"/>
    <n v="30"/>
    <x v="2"/>
    <x v="1"/>
  </r>
  <r>
    <s v="ORD-5242"/>
    <d v="2024-06-01T00:00:00"/>
    <s v="C2128"/>
    <s v="P1044"/>
    <n v="8"/>
    <n v="104.84"/>
    <x v="147"/>
    <n v="251.61599999999999"/>
    <x v="2"/>
    <n v="1"/>
    <x v="7"/>
    <x v="1"/>
  </r>
  <r>
    <s v="ORD-5243"/>
    <d v="2025-07-21T00:00:00"/>
    <s v="C2233"/>
    <s v="P1003"/>
    <n v="8"/>
    <n v="29.47"/>
    <x v="197"/>
    <n v="70.727999999999994"/>
    <x v="1"/>
    <n v="21"/>
    <x v="8"/>
    <x v="0"/>
  </r>
  <r>
    <s v="ORD-5244"/>
    <d v="2025-07-11T00:00:00"/>
    <s v="C2022"/>
    <s v="P1025"/>
    <n v="9"/>
    <n v="185.22"/>
    <x v="3"/>
    <n v="500.09399999999999"/>
    <x v="2"/>
    <n v="11"/>
    <x v="8"/>
    <x v="0"/>
  </r>
  <r>
    <s v="ORD-5245"/>
    <d v="2025-01-04T00:00:00"/>
    <s v="C2448"/>
    <s v="P1007"/>
    <n v="9"/>
    <n v="162.96"/>
    <x v="31"/>
    <n v="439.99200000000002"/>
    <x v="3"/>
    <n v="4"/>
    <x v="3"/>
    <x v="0"/>
  </r>
  <r>
    <s v="ORD-5246"/>
    <d v="2025-06-10T00:00:00"/>
    <s v="C2169"/>
    <s v="P1031"/>
    <n v="9"/>
    <n v="107.88"/>
    <x v="198"/>
    <n v="291.27599999999995"/>
    <x v="2"/>
    <n v="10"/>
    <x v="7"/>
    <x v="0"/>
  </r>
  <r>
    <s v="ORD-5247"/>
    <d v="2025-01-01T00:00:00"/>
    <s v="C2276"/>
    <s v="P1034"/>
    <n v="2"/>
    <n v="41.45"/>
    <x v="199"/>
    <n v="24.87"/>
    <x v="2"/>
    <n v="1"/>
    <x v="3"/>
    <x v="0"/>
  </r>
  <r>
    <s v="ORD-5248"/>
    <d v="2025-11-23T00:00:00"/>
    <s v="C2002"/>
    <s v="P1045"/>
    <n v="9"/>
    <n v="115.1"/>
    <x v="161"/>
    <n v="310.77000000000004"/>
    <x v="2"/>
    <n v="23"/>
    <x v="10"/>
    <x v="0"/>
  </r>
  <r>
    <s v="ORD-5249"/>
    <d v="2025-02-12T00:00:00"/>
    <s v="C2332"/>
    <s v="P1031"/>
    <n v="9"/>
    <n v="107.88"/>
    <x v="198"/>
    <n v="291.27599999999995"/>
    <x v="3"/>
    <n v="12"/>
    <x v="4"/>
    <x v="0"/>
  </r>
  <r>
    <s v="ORD-5250"/>
    <d v="2024-11-15T00:00:00"/>
    <s v="C2465"/>
    <s v="P1033"/>
    <n v="1"/>
    <n v="18.850000000000001"/>
    <x v="9"/>
    <n v="5.6550000000000002"/>
    <x v="2"/>
    <n v="15"/>
    <x v="10"/>
    <x v="1"/>
  </r>
  <r>
    <s v="ORD-5251"/>
    <d v="2025-04-26T00:00:00"/>
    <s v="C2326"/>
    <s v="P1016"/>
    <n v="8"/>
    <n v="34.369999999999997"/>
    <x v="200"/>
    <n v="82.487999999999985"/>
    <x v="2"/>
    <n v="26"/>
    <x v="6"/>
    <x v="0"/>
  </r>
  <r>
    <s v="ORD-5252"/>
    <d v="2024-11-27T00:00:00"/>
    <s v="C2322"/>
    <s v="P1016"/>
    <n v="9"/>
    <n v="34.369999999999997"/>
    <x v="201"/>
    <n v="92.798999999999992"/>
    <x v="0"/>
    <n v="27"/>
    <x v="10"/>
    <x v="1"/>
  </r>
  <r>
    <s v="ORD-5253"/>
    <d v="2024-01-23T00:00:00"/>
    <s v="C2275"/>
    <s v="P1048"/>
    <n v="6"/>
    <n v="20.28"/>
    <x v="202"/>
    <n v="36.503999999999998"/>
    <x v="0"/>
    <n v="23"/>
    <x v="3"/>
    <x v="1"/>
  </r>
  <r>
    <s v="ORD-5254"/>
    <d v="2025-03-18T00:00:00"/>
    <s v="C2071"/>
    <s v="P1049"/>
    <n v="8"/>
    <n v="29.94"/>
    <x v="203"/>
    <n v="71.855999999999995"/>
    <x v="3"/>
    <n v="18"/>
    <x v="1"/>
    <x v="0"/>
  </r>
  <r>
    <s v="ORD-5255"/>
    <d v="2025-10-21T00:00:00"/>
    <s v="C2043"/>
    <s v="P1021"/>
    <n v="4"/>
    <n v="165.9"/>
    <x v="204"/>
    <n v="199.08"/>
    <x v="3"/>
    <n v="21"/>
    <x v="0"/>
    <x v="0"/>
  </r>
  <r>
    <s v="ORD-5256"/>
    <d v="2024-12-04T00:00:00"/>
    <s v="C2421"/>
    <s v="P1029"/>
    <n v="7"/>
    <n v="162.21"/>
    <x v="205"/>
    <n v="340.64100000000002"/>
    <x v="3"/>
    <n v="4"/>
    <x v="5"/>
    <x v="1"/>
  </r>
  <r>
    <s v="ORD-5257"/>
    <d v="2025-09-24T00:00:00"/>
    <s v="C2030"/>
    <s v="P1050"/>
    <n v="2"/>
    <n v="48.76"/>
    <x v="187"/>
    <n v="29.255999999999997"/>
    <x v="1"/>
    <n v="24"/>
    <x v="11"/>
    <x v="0"/>
  </r>
  <r>
    <s v="ORD-5258"/>
    <d v="2025-05-26T00:00:00"/>
    <s v="C2312"/>
    <s v="P1002"/>
    <n v="2"/>
    <n v="89.88"/>
    <x v="206"/>
    <n v="53.927999999999997"/>
    <x v="1"/>
    <n v="26"/>
    <x v="2"/>
    <x v="0"/>
  </r>
  <r>
    <s v="ORD-5259"/>
    <d v="2025-11-27T00:00:00"/>
    <s v="C2493"/>
    <s v="P1010"/>
    <n v="8"/>
    <n v="56.18"/>
    <x v="207"/>
    <n v="134.83199999999999"/>
    <x v="2"/>
    <n v="27"/>
    <x v="10"/>
    <x v="0"/>
  </r>
  <r>
    <s v="ORD-5260"/>
    <d v="2025-10-28T00:00:00"/>
    <s v="C2225"/>
    <s v="P1037"/>
    <n v="9"/>
    <n v="49.95"/>
    <x v="208"/>
    <n v="134.86500000000001"/>
    <x v="0"/>
    <n v="28"/>
    <x v="0"/>
    <x v="0"/>
  </r>
  <r>
    <s v="ORD-5261"/>
    <d v="2025-12-27T00:00:00"/>
    <s v="C2436"/>
    <s v="P1017"/>
    <n v="7"/>
    <n v="60.32"/>
    <x v="209"/>
    <n v="126.672"/>
    <x v="0"/>
    <n v="27"/>
    <x v="5"/>
    <x v="0"/>
  </r>
  <r>
    <s v="ORD-5262"/>
    <d v="2024-10-30T00:00:00"/>
    <s v="C2417"/>
    <s v="P1029"/>
    <n v="6"/>
    <n v="162.21"/>
    <x v="115"/>
    <n v="291.97800000000001"/>
    <x v="1"/>
    <n v="30"/>
    <x v="0"/>
    <x v="1"/>
  </r>
  <r>
    <s v="ORD-5263"/>
    <d v="2024-06-06T00:00:00"/>
    <s v="C2225"/>
    <s v="P1050"/>
    <n v="9"/>
    <n v="48.76"/>
    <x v="210"/>
    <n v="131.65199999999999"/>
    <x v="1"/>
    <n v="6"/>
    <x v="7"/>
    <x v="1"/>
  </r>
  <r>
    <s v="ORD-5264"/>
    <d v="2024-05-04T00:00:00"/>
    <s v="C2042"/>
    <s v="P1044"/>
    <n v="8"/>
    <n v="104.84"/>
    <x v="147"/>
    <n v="251.61599999999999"/>
    <x v="2"/>
    <n v="4"/>
    <x v="2"/>
    <x v="1"/>
  </r>
  <r>
    <s v="ORD-5265"/>
    <d v="2025-10-09T00:00:00"/>
    <s v="C2368"/>
    <s v="P1050"/>
    <n v="5"/>
    <n v="48.76"/>
    <x v="46"/>
    <n v="73.14"/>
    <x v="2"/>
    <n v="9"/>
    <x v="0"/>
    <x v="0"/>
  </r>
  <r>
    <s v="ORD-5266"/>
    <d v="2025-12-25T00:00:00"/>
    <s v="C2357"/>
    <s v="P1026"/>
    <n v="3"/>
    <n v="64.62"/>
    <x v="136"/>
    <n v="58.158000000000001"/>
    <x v="1"/>
    <n v="25"/>
    <x v="5"/>
    <x v="0"/>
  </r>
  <r>
    <s v="ORD-5267"/>
    <d v="2025-07-21T00:00:00"/>
    <s v="C2193"/>
    <s v="P1033"/>
    <n v="3"/>
    <n v="18.850000000000001"/>
    <x v="152"/>
    <n v="16.965"/>
    <x v="0"/>
    <n v="21"/>
    <x v="8"/>
    <x v="0"/>
  </r>
  <r>
    <s v="ORD-5268"/>
    <d v="2025-02-24T00:00:00"/>
    <s v="C2094"/>
    <s v="P1047"/>
    <n v="4"/>
    <n v="118.95"/>
    <x v="211"/>
    <n v="142.74"/>
    <x v="0"/>
    <n v="24"/>
    <x v="4"/>
    <x v="0"/>
  </r>
  <r>
    <s v="ORD-5269"/>
    <d v="2025-05-12T00:00:00"/>
    <s v="C2481"/>
    <s v="P1029"/>
    <n v="2"/>
    <n v="162.21"/>
    <x v="212"/>
    <n v="97.326000000000008"/>
    <x v="0"/>
    <n v="12"/>
    <x v="2"/>
    <x v="0"/>
  </r>
  <r>
    <s v="ORD-5270"/>
    <d v="2024-09-06T00:00:00"/>
    <s v="C2145"/>
    <s v="P1001"/>
    <n v="4"/>
    <n v="108.19"/>
    <x v="213"/>
    <n v="129.828"/>
    <x v="1"/>
    <n v="6"/>
    <x v="11"/>
    <x v="1"/>
  </r>
  <r>
    <s v="ORD-5271"/>
    <d v="2025-07-28T00:00:00"/>
    <s v="C2135"/>
    <s v="P1008"/>
    <n v="1"/>
    <n v="68.41"/>
    <x v="214"/>
    <n v="20.523"/>
    <x v="0"/>
    <n v="28"/>
    <x v="8"/>
    <x v="0"/>
  </r>
  <r>
    <s v="ORD-5272"/>
    <d v="2024-08-30T00:00:00"/>
    <s v="C2470"/>
    <s v="P1002"/>
    <n v="5"/>
    <n v="89.88"/>
    <x v="50"/>
    <n v="134.82"/>
    <x v="2"/>
    <n v="30"/>
    <x v="9"/>
    <x v="1"/>
  </r>
  <r>
    <s v="ORD-5273"/>
    <d v="2025-06-25T00:00:00"/>
    <s v="C2083"/>
    <s v="P1032"/>
    <n v="4"/>
    <n v="52.52"/>
    <x v="132"/>
    <n v="63.024000000000001"/>
    <x v="3"/>
    <n v="25"/>
    <x v="7"/>
    <x v="0"/>
  </r>
  <r>
    <s v="ORD-5274"/>
    <d v="2025-07-23T00:00:00"/>
    <s v="C2232"/>
    <s v="P1042"/>
    <n v="8"/>
    <n v="35.03"/>
    <x v="215"/>
    <n v="84.072000000000003"/>
    <x v="0"/>
    <n v="23"/>
    <x v="8"/>
    <x v="0"/>
  </r>
  <r>
    <s v="ORD-5275"/>
    <d v="2025-09-02T00:00:00"/>
    <s v="C2043"/>
    <s v="P1010"/>
    <n v="8"/>
    <n v="56.18"/>
    <x v="207"/>
    <n v="134.83199999999999"/>
    <x v="0"/>
    <n v="2"/>
    <x v="11"/>
    <x v="0"/>
  </r>
  <r>
    <s v="ORD-5276"/>
    <d v="2024-03-12T00:00:00"/>
    <s v="C2284"/>
    <s v="P1042"/>
    <n v="2"/>
    <n v="35.03"/>
    <x v="216"/>
    <n v="21.018000000000001"/>
    <x v="2"/>
    <n v="12"/>
    <x v="1"/>
    <x v="1"/>
  </r>
  <r>
    <s v="ORD-5277"/>
    <d v="2025-01-28T00:00:00"/>
    <s v="C2158"/>
    <s v="P1025"/>
    <n v="8"/>
    <n v="185.22"/>
    <x v="149"/>
    <n v="444.52799999999996"/>
    <x v="0"/>
    <n v="28"/>
    <x v="3"/>
    <x v="0"/>
  </r>
  <r>
    <s v="ORD-5278"/>
    <d v="2024-09-22T00:00:00"/>
    <s v="C2467"/>
    <s v="P1014"/>
    <n v="2"/>
    <n v="193.35"/>
    <x v="217"/>
    <n v="116.00999999999999"/>
    <x v="0"/>
    <n v="22"/>
    <x v="11"/>
    <x v="1"/>
  </r>
  <r>
    <s v="ORD-5279"/>
    <d v="2024-05-16T00:00:00"/>
    <s v="C2192"/>
    <s v="P1032"/>
    <n v="3"/>
    <n v="52.52"/>
    <x v="218"/>
    <n v="47.268000000000001"/>
    <x v="3"/>
    <n v="16"/>
    <x v="2"/>
    <x v="1"/>
  </r>
  <r>
    <s v="ORD-5280"/>
    <d v="2024-12-15T00:00:00"/>
    <s v="C2032"/>
    <s v="P1031"/>
    <n v="8"/>
    <n v="107.88"/>
    <x v="98"/>
    <n v="258.91199999999998"/>
    <x v="1"/>
    <n v="15"/>
    <x v="5"/>
    <x v="1"/>
  </r>
  <r>
    <s v="ORD-5281"/>
    <d v="2025-07-08T00:00:00"/>
    <s v="C2191"/>
    <s v="P1039"/>
    <n v="6"/>
    <n v="103.45"/>
    <x v="219"/>
    <n v="186.21"/>
    <x v="3"/>
    <n v="8"/>
    <x v="8"/>
    <x v="0"/>
  </r>
  <r>
    <s v="ORD-5282"/>
    <d v="2024-10-23T00:00:00"/>
    <s v="C2468"/>
    <s v="P1048"/>
    <n v="7"/>
    <n v="20.28"/>
    <x v="220"/>
    <n v="42.588000000000001"/>
    <x v="1"/>
    <n v="23"/>
    <x v="0"/>
    <x v="1"/>
  </r>
  <r>
    <s v="ORD-5283"/>
    <d v="2024-07-26T00:00:00"/>
    <s v="C2001"/>
    <s v="P1047"/>
    <n v="8"/>
    <n v="118.95"/>
    <x v="221"/>
    <n v="285.48"/>
    <x v="2"/>
    <n v="26"/>
    <x v="8"/>
    <x v="1"/>
  </r>
  <r>
    <s v="ORD-5284"/>
    <d v="2025-01-24T00:00:00"/>
    <s v="C2296"/>
    <s v="P1050"/>
    <n v="6"/>
    <n v="48.76"/>
    <x v="186"/>
    <n v="87.768000000000001"/>
    <x v="3"/>
    <n v="24"/>
    <x v="3"/>
    <x v="0"/>
  </r>
  <r>
    <s v="ORD-5285"/>
    <d v="2025-03-18T00:00:00"/>
    <s v="C2370"/>
    <s v="P1016"/>
    <n v="5"/>
    <n v="34.369999999999997"/>
    <x v="222"/>
    <n v="51.555"/>
    <x v="3"/>
    <n v="18"/>
    <x v="1"/>
    <x v="0"/>
  </r>
  <r>
    <s v="ORD-5286"/>
    <d v="2025-08-02T00:00:00"/>
    <s v="C2091"/>
    <s v="P1038"/>
    <n v="1"/>
    <n v="86.37"/>
    <x v="26"/>
    <n v="25.911000000000001"/>
    <x v="3"/>
    <n v="2"/>
    <x v="9"/>
    <x v="0"/>
  </r>
  <r>
    <s v="ORD-5287"/>
    <d v="2024-11-20T00:00:00"/>
    <s v="C2029"/>
    <s v="P1027"/>
    <n v="3"/>
    <n v="134.32"/>
    <x v="41"/>
    <n v="120.88799999999999"/>
    <x v="2"/>
    <n v="20"/>
    <x v="10"/>
    <x v="1"/>
  </r>
  <r>
    <s v="ORD-5288"/>
    <d v="2024-03-04T00:00:00"/>
    <s v="C2208"/>
    <s v="P1026"/>
    <n v="3"/>
    <n v="64.62"/>
    <x v="136"/>
    <n v="58.158000000000001"/>
    <x v="1"/>
    <n v="4"/>
    <x v="1"/>
    <x v="1"/>
  </r>
  <r>
    <s v="ORD-5289"/>
    <d v="2025-08-23T00:00:00"/>
    <s v="C2499"/>
    <s v="P1011"/>
    <n v="2"/>
    <n v="78.92"/>
    <x v="223"/>
    <n v="47.351999999999997"/>
    <x v="2"/>
    <n v="23"/>
    <x v="9"/>
    <x v="0"/>
  </r>
  <r>
    <s v="ORD-5290"/>
    <d v="2024-07-13T00:00:00"/>
    <s v="C2185"/>
    <s v="P1029"/>
    <n v="3"/>
    <n v="162.21"/>
    <x v="224"/>
    <n v="145.989"/>
    <x v="0"/>
    <n v="13"/>
    <x v="8"/>
    <x v="1"/>
  </r>
  <r>
    <s v="ORD-5291"/>
    <d v="2025-07-15T00:00:00"/>
    <s v="C2318"/>
    <s v="P1034"/>
    <n v="3"/>
    <n v="41.45"/>
    <x v="142"/>
    <n v="37.305"/>
    <x v="2"/>
    <n v="15"/>
    <x v="8"/>
    <x v="0"/>
  </r>
  <r>
    <s v="ORD-5292"/>
    <d v="2024-05-18T00:00:00"/>
    <s v="C2292"/>
    <s v="P1045"/>
    <n v="5"/>
    <n v="115.1"/>
    <x v="125"/>
    <n v="172.65"/>
    <x v="3"/>
    <n v="18"/>
    <x v="2"/>
    <x v="1"/>
  </r>
  <r>
    <s v="ORD-5293"/>
    <d v="2024-10-04T00:00:00"/>
    <s v="C2172"/>
    <s v="P1001"/>
    <n v="9"/>
    <n v="108.19"/>
    <x v="106"/>
    <n v="292.113"/>
    <x v="1"/>
    <n v="4"/>
    <x v="0"/>
    <x v="1"/>
  </r>
  <r>
    <s v="ORD-5294"/>
    <d v="2025-12-23T00:00:00"/>
    <s v="C2384"/>
    <s v="P1005"/>
    <n v="3"/>
    <n v="74.61"/>
    <x v="225"/>
    <n v="67.149000000000001"/>
    <x v="0"/>
    <n v="23"/>
    <x v="5"/>
    <x v="0"/>
  </r>
  <r>
    <s v="ORD-5295"/>
    <d v="2024-09-04T00:00:00"/>
    <s v="C2438"/>
    <s v="P1030"/>
    <n v="6"/>
    <n v="12.47"/>
    <x v="160"/>
    <n v="22.445999999999998"/>
    <x v="1"/>
    <n v="4"/>
    <x v="11"/>
    <x v="1"/>
  </r>
  <r>
    <s v="ORD-5296"/>
    <d v="2024-07-15T00:00:00"/>
    <s v="C2316"/>
    <s v="P1035"/>
    <n v="4"/>
    <n v="176.31"/>
    <x v="226"/>
    <n v="211.572"/>
    <x v="0"/>
    <n v="15"/>
    <x v="8"/>
    <x v="1"/>
  </r>
  <r>
    <s v="ORD-5297"/>
    <d v="2024-10-11T00:00:00"/>
    <s v="C2310"/>
    <s v="P1044"/>
    <n v="2"/>
    <n v="104.84"/>
    <x v="85"/>
    <n v="62.903999999999996"/>
    <x v="1"/>
    <n v="11"/>
    <x v="0"/>
    <x v="1"/>
  </r>
  <r>
    <s v="ORD-5298"/>
    <d v="2024-02-14T00:00:00"/>
    <s v="C2029"/>
    <s v="P1010"/>
    <n v="4"/>
    <n v="56.18"/>
    <x v="227"/>
    <n v="67.415999999999997"/>
    <x v="0"/>
    <n v="14"/>
    <x v="4"/>
    <x v="1"/>
  </r>
  <r>
    <s v="ORD-5299"/>
    <d v="2025-08-07T00:00:00"/>
    <s v="C2469"/>
    <s v="P1047"/>
    <n v="10"/>
    <n v="118.95"/>
    <x v="110"/>
    <n v="356.84999999999997"/>
    <x v="3"/>
    <n v="7"/>
    <x v="9"/>
    <x v="0"/>
  </r>
  <r>
    <s v="ORD-5300"/>
    <d v="2025-07-16T00:00:00"/>
    <s v="C2327"/>
    <s v="P1013"/>
    <n v="6"/>
    <n v="91.3"/>
    <x v="108"/>
    <n v="164.33999999999997"/>
    <x v="3"/>
    <n v="16"/>
    <x v="8"/>
    <x v="0"/>
  </r>
  <r>
    <s v="ORD-5301"/>
    <d v="2025-07-06T00:00:00"/>
    <s v="C2312"/>
    <s v="P1012"/>
    <n v="7"/>
    <n v="112.61"/>
    <x v="228"/>
    <n v="236.48099999999999"/>
    <x v="1"/>
    <n v="6"/>
    <x v="8"/>
    <x v="0"/>
  </r>
  <r>
    <s v="ORD-5302"/>
    <d v="2024-06-29T00:00:00"/>
    <s v="C2103"/>
    <s v="P1048"/>
    <n v="6"/>
    <n v="20.28"/>
    <x v="202"/>
    <n v="36.503999999999998"/>
    <x v="2"/>
    <n v="29"/>
    <x v="7"/>
    <x v="1"/>
  </r>
  <r>
    <s v="ORD-5303"/>
    <d v="2025-06-02T00:00:00"/>
    <s v="C2466"/>
    <s v="P1046"/>
    <n v="7"/>
    <n v="89.24"/>
    <x v="123"/>
    <n v="187.40399999999997"/>
    <x v="1"/>
    <n v="2"/>
    <x v="7"/>
    <x v="0"/>
  </r>
  <r>
    <s v="ORD-5304"/>
    <d v="2024-05-26T00:00:00"/>
    <s v="C2495"/>
    <s v="P1041"/>
    <n v="5"/>
    <n v="28.49"/>
    <x v="229"/>
    <n v="42.734999999999992"/>
    <x v="1"/>
    <n v="26"/>
    <x v="2"/>
    <x v="1"/>
  </r>
  <r>
    <s v="ORD-5305"/>
    <d v="2025-09-11T00:00:00"/>
    <s v="C2449"/>
    <s v="P1045"/>
    <n v="3"/>
    <n v="115.1"/>
    <x v="133"/>
    <n v="103.59"/>
    <x v="1"/>
    <n v="11"/>
    <x v="11"/>
    <x v="0"/>
  </r>
  <r>
    <s v="ORD-5306"/>
    <d v="2025-08-12T00:00:00"/>
    <s v="C2182"/>
    <s v="P1005"/>
    <n v="7"/>
    <n v="74.61"/>
    <x v="121"/>
    <n v="156.68099999999998"/>
    <x v="0"/>
    <n v="12"/>
    <x v="9"/>
    <x v="0"/>
  </r>
  <r>
    <s v="ORD-5307"/>
    <d v="2024-07-24T00:00:00"/>
    <s v="C2013"/>
    <s v="P1002"/>
    <n v="4"/>
    <n v="89.88"/>
    <x v="183"/>
    <n v="107.85599999999999"/>
    <x v="0"/>
    <n v="24"/>
    <x v="8"/>
    <x v="1"/>
  </r>
  <r>
    <s v="ORD-5308"/>
    <d v="2024-08-02T00:00:00"/>
    <s v="C2087"/>
    <s v="P1011"/>
    <n v="5"/>
    <n v="78.92"/>
    <x v="129"/>
    <n v="118.38"/>
    <x v="2"/>
    <n v="2"/>
    <x v="9"/>
    <x v="1"/>
  </r>
  <r>
    <s v="ORD-5309"/>
    <d v="2025-02-17T00:00:00"/>
    <s v="C2036"/>
    <s v="P1036"/>
    <n v="2"/>
    <n v="53.74"/>
    <x v="230"/>
    <n v="32.244"/>
    <x v="3"/>
    <n v="17"/>
    <x v="4"/>
    <x v="0"/>
  </r>
  <r>
    <s v="ORD-5310"/>
    <d v="2025-04-11T00:00:00"/>
    <s v="C2305"/>
    <s v="P1007"/>
    <n v="10"/>
    <n v="162.96"/>
    <x v="231"/>
    <n v="488.87999999999994"/>
    <x v="0"/>
    <n v="11"/>
    <x v="6"/>
    <x v="0"/>
  </r>
  <r>
    <s v="ORD-5311"/>
    <d v="2025-08-14T00:00:00"/>
    <s v="C2395"/>
    <s v="P1037"/>
    <n v="3"/>
    <n v="49.95"/>
    <x v="232"/>
    <n v="44.954999999999998"/>
    <x v="2"/>
    <n v="14"/>
    <x v="9"/>
    <x v="0"/>
  </r>
  <r>
    <s v="ORD-5312"/>
    <d v="2024-01-03T00:00:00"/>
    <s v="C2237"/>
    <s v="P1032"/>
    <n v="8"/>
    <n v="52.52"/>
    <x v="233"/>
    <n v="126.048"/>
    <x v="3"/>
    <n v="3"/>
    <x v="3"/>
    <x v="1"/>
  </r>
  <r>
    <s v="ORD-5313"/>
    <d v="2025-11-24T00:00:00"/>
    <s v="C2030"/>
    <s v="P1027"/>
    <n v="5"/>
    <n v="134.32"/>
    <x v="4"/>
    <n v="201.48"/>
    <x v="1"/>
    <n v="24"/>
    <x v="10"/>
    <x v="0"/>
  </r>
  <r>
    <s v="ORD-5314"/>
    <d v="2025-05-27T00:00:00"/>
    <s v="C2199"/>
    <s v="P1029"/>
    <n v="5"/>
    <n v="162.21"/>
    <x v="234"/>
    <n v="243.31499999999997"/>
    <x v="2"/>
    <n v="27"/>
    <x v="2"/>
    <x v="0"/>
  </r>
  <r>
    <s v="ORD-5315"/>
    <d v="2024-06-29T00:00:00"/>
    <s v="C2061"/>
    <s v="P1048"/>
    <n v="2"/>
    <n v="20.28"/>
    <x v="235"/>
    <n v="12.168000000000001"/>
    <x v="1"/>
    <n v="29"/>
    <x v="7"/>
    <x v="1"/>
  </r>
  <r>
    <s v="ORD-5316"/>
    <d v="2024-08-02T00:00:00"/>
    <s v="C2482"/>
    <s v="P1020"/>
    <n v="10"/>
    <n v="24.62"/>
    <x v="236"/>
    <n v="73.86"/>
    <x v="2"/>
    <n v="2"/>
    <x v="9"/>
    <x v="1"/>
  </r>
  <r>
    <s v="ORD-5317"/>
    <d v="2024-07-12T00:00:00"/>
    <s v="C2296"/>
    <s v="P1031"/>
    <n v="8"/>
    <n v="107.88"/>
    <x v="98"/>
    <n v="258.91199999999998"/>
    <x v="2"/>
    <n v="12"/>
    <x v="8"/>
    <x v="1"/>
  </r>
  <r>
    <s v="ORD-5318"/>
    <d v="2024-11-03T00:00:00"/>
    <s v="C2067"/>
    <s v="P1042"/>
    <n v="10"/>
    <n v="35.03"/>
    <x v="99"/>
    <n v="105.09"/>
    <x v="1"/>
    <n v="3"/>
    <x v="10"/>
    <x v="1"/>
  </r>
  <r>
    <s v="ORD-5319"/>
    <d v="2024-01-01T00:00:00"/>
    <s v="C2277"/>
    <s v="P1010"/>
    <n v="3"/>
    <n v="56.18"/>
    <x v="237"/>
    <n v="50.561999999999998"/>
    <x v="0"/>
    <n v="1"/>
    <x v="3"/>
    <x v="1"/>
  </r>
  <r>
    <s v="ORD-5320"/>
    <d v="2024-09-10T00:00:00"/>
    <s v="C2428"/>
    <s v="P1042"/>
    <n v="4"/>
    <n v="35.03"/>
    <x v="238"/>
    <n v="42.036000000000001"/>
    <x v="3"/>
    <n v="10"/>
    <x v="11"/>
    <x v="1"/>
  </r>
  <r>
    <s v="ORD-5321"/>
    <d v="2025-10-20T00:00:00"/>
    <s v="C2428"/>
    <s v="P1042"/>
    <n v="7"/>
    <n v="35.03"/>
    <x v="239"/>
    <n v="73.563000000000002"/>
    <x v="0"/>
    <n v="20"/>
    <x v="0"/>
    <x v="0"/>
  </r>
  <r>
    <s v="ORD-5322"/>
    <d v="2024-03-17T00:00:00"/>
    <s v="C2226"/>
    <s v="P1017"/>
    <n v="4"/>
    <n v="60.32"/>
    <x v="240"/>
    <n v="72.384"/>
    <x v="3"/>
    <n v="17"/>
    <x v="1"/>
    <x v="1"/>
  </r>
  <r>
    <s v="ORD-5323"/>
    <d v="2025-04-19T00:00:00"/>
    <s v="C2143"/>
    <s v="P1035"/>
    <n v="8"/>
    <n v="176.31"/>
    <x v="241"/>
    <n v="423.14400000000001"/>
    <x v="3"/>
    <n v="19"/>
    <x v="6"/>
    <x v="0"/>
  </r>
  <r>
    <s v="ORD-5324"/>
    <d v="2025-03-10T00:00:00"/>
    <s v="C2487"/>
    <s v="P1017"/>
    <n v="2"/>
    <n v="60.32"/>
    <x v="51"/>
    <n v="36.192"/>
    <x v="0"/>
    <n v="10"/>
    <x v="1"/>
    <x v="0"/>
  </r>
  <r>
    <s v="ORD-5325"/>
    <d v="2024-10-31T00:00:00"/>
    <s v="C2414"/>
    <s v="P1014"/>
    <n v="2"/>
    <n v="193.35"/>
    <x v="217"/>
    <n v="116.00999999999999"/>
    <x v="0"/>
    <n v="31"/>
    <x v="0"/>
    <x v="1"/>
  </r>
  <r>
    <s v="ORD-5326"/>
    <d v="2025-01-23T00:00:00"/>
    <s v="C2144"/>
    <s v="P1027"/>
    <n v="5"/>
    <n v="134.32"/>
    <x v="4"/>
    <n v="201.48"/>
    <x v="0"/>
    <n v="23"/>
    <x v="3"/>
    <x v="0"/>
  </r>
  <r>
    <s v="ORD-5327"/>
    <d v="2025-10-26T00:00:00"/>
    <s v="C2022"/>
    <s v="P1042"/>
    <n v="6"/>
    <n v="35.03"/>
    <x v="242"/>
    <n v="63.054000000000002"/>
    <x v="1"/>
    <n v="26"/>
    <x v="0"/>
    <x v="0"/>
  </r>
  <r>
    <s v="ORD-5328"/>
    <d v="2025-12-22T00:00:00"/>
    <s v="C2033"/>
    <s v="P1042"/>
    <n v="1"/>
    <n v="35.03"/>
    <x v="158"/>
    <n v="10.509"/>
    <x v="2"/>
    <n v="22"/>
    <x v="5"/>
    <x v="0"/>
  </r>
  <r>
    <s v="ORD-5329"/>
    <d v="2025-02-02T00:00:00"/>
    <s v="C2203"/>
    <s v="P1012"/>
    <n v="7"/>
    <n v="112.61"/>
    <x v="228"/>
    <n v="236.48099999999999"/>
    <x v="3"/>
    <n v="2"/>
    <x v="4"/>
    <x v="0"/>
  </r>
  <r>
    <s v="ORD-5330"/>
    <d v="2025-11-27T00:00:00"/>
    <s v="C2092"/>
    <s v="P1009"/>
    <n v="9"/>
    <n v="134.61000000000001"/>
    <x v="243"/>
    <n v="363.447"/>
    <x v="0"/>
    <n v="27"/>
    <x v="10"/>
    <x v="0"/>
  </r>
  <r>
    <s v="ORD-5331"/>
    <d v="2024-01-22T00:00:00"/>
    <s v="C2337"/>
    <s v="P1007"/>
    <n v="9"/>
    <n v="162.96"/>
    <x v="31"/>
    <n v="439.99200000000002"/>
    <x v="3"/>
    <n v="22"/>
    <x v="3"/>
    <x v="1"/>
  </r>
  <r>
    <s v="ORD-5332"/>
    <d v="2024-10-05T00:00:00"/>
    <s v="C2265"/>
    <s v="P1015"/>
    <n v="1"/>
    <n v="52.45"/>
    <x v="244"/>
    <n v="15.734999999999999"/>
    <x v="2"/>
    <n v="5"/>
    <x v="0"/>
    <x v="1"/>
  </r>
  <r>
    <s v="ORD-5333"/>
    <d v="2025-12-20T00:00:00"/>
    <s v="C2263"/>
    <s v="P1020"/>
    <n v="1"/>
    <n v="24.62"/>
    <x v="245"/>
    <n v="7.3860000000000001"/>
    <x v="3"/>
    <n v="20"/>
    <x v="5"/>
    <x v="0"/>
  </r>
  <r>
    <s v="ORD-5334"/>
    <d v="2024-01-21T00:00:00"/>
    <s v="C2241"/>
    <s v="P1022"/>
    <n v="4"/>
    <n v="195.89"/>
    <x v="184"/>
    <n v="235.06799999999998"/>
    <x v="1"/>
    <n v="21"/>
    <x v="3"/>
    <x v="1"/>
  </r>
  <r>
    <s v="ORD-5335"/>
    <d v="2024-04-02T00:00:00"/>
    <s v="C2184"/>
    <s v="P1006"/>
    <n v="4"/>
    <n v="17.64"/>
    <x v="168"/>
    <n v="21.167999999999999"/>
    <x v="1"/>
    <n v="2"/>
    <x v="6"/>
    <x v="1"/>
  </r>
  <r>
    <s v="ORD-5336"/>
    <d v="2025-03-28T00:00:00"/>
    <s v="C2471"/>
    <s v="P1012"/>
    <n v="2"/>
    <n v="112.61"/>
    <x v="75"/>
    <n v="67.566000000000003"/>
    <x v="0"/>
    <n v="28"/>
    <x v="1"/>
    <x v="0"/>
  </r>
  <r>
    <s v="ORD-5337"/>
    <d v="2024-02-26T00:00:00"/>
    <s v="C2171"/>
    <s v="P1024"/>
    <n v="8"/>
    <n v="180.47"/>
    <x v="246"/>
    <n v="433.12799999999999"/>
    <x v="3"/>
    <n v="26"/>
    <x v="4"/>
    <x v="1"/>
  </r>
  <r>
    <s v="ORD-5338"/>
    <d v="2024-11-28T00:00:00"/>
    <s v="C2322"/>
    <s v="P1021"/>
    <n v="2"/>
    <n v="165.9"/>
    <x v="23"/>
    <n v="99.54"/>
    <x v="2"/>
    <n v="28"/>
    <x v="10"/>
    <x v="1"/>
  </r>
  <r>
    <s v="ORD-5339"/>
    <d v="2025-04-15T00:00:00"/>
    <s v="C2478"/>
    <s v="P1023"/>
    <n v="7"/>
    <n v="157.13"/>
    <x v="247"/>
    <n v="329.97300000000001"/>
    <x v="1"/>
    <n v="15"/>
    <x v="6"/>
    <x v="0"/>
  </r>
  <r>
    <s v="ORD-5340"/>
    <d v="2025-08-28T00:00:00"/>
    <s v="C2148"/>
    <s v="P1006"/>
    <n v="3"/>
    <n v="17.64"/>
    <x v="34"/>
    <n v="15.875999999999999"/>
    <x v="2"/>
    <n v="28"/>
    <x v="9"/>
    <x v="0"/>
  </r>
  <r>
    <s v="ORD-5341"/>
    <d v="2025-12-30T00:00:00"/>
    <s v="C2134"/>
    <s v="P1040"/>
    <n v="1"/>
    <n v="58.12"/>
    <x v="248"/>
    <n v="17.436"/>
    <x v="2"/>
    <n v="30"/>
    <x v="5"/>
    <x v="0"/>
  </r>
  <r>
    <s v="ORD-5342"/>
    <d v="2025-05-13T00:00:00"/>
    <s v="C2365"/>
    <s v="P1041"/>
    <n v="5"/>
    <n v="28.49"/>
    <x v="229"/>
    <n v="42.734999999999992"/>
    <x v="2"/>
    <n v="13"/>
    <x v="2"/>
    <x v="0"/>
  </r>
  <r>
    <s v="ORD-5343"/>
    <d v="2024-06-21T00:00:00"/>
    <s v="C2318"/>
    <s v="P1018"/>
    <n v="7"/>
    <n v="38.93"/>
    <x v="163"/>
    <n v="81.753"/>
    <x v="2"/>
    <n v="21"/>
    <x v="7"/>
    <x v="1"/>
  </r>
  <r>
    <s v="ORD-5344"/>
    <d v="2025-01-04T00:00:00"/>
    <s v="C2440"/>
    <s v="P1017"/>
    <n v="9"/>
    <n v="60.32"/>
    <x v="146"/>
    <n v="162.864"/>
    <x v="1"/>
    <n v="4"/>
    <x v="3"/>
    <x v="0"/>
  </r>
  <r>
    <s v="ORD-5345"/>
    <d v="2025-04-09T00:00:00"/>
    <s v="C2078"/>
    <s v="P1028"/>
    <n v="6"/>
    <n v="73.89"/>
    <x v="192"/>
    <n v="133.00199999999998"/>
    <x v="2"/>
    <n v="9"/>
    <x v="6"/>
    <x v="0"/>
  </r>
  <r>
    <s v="ORD-5346"/>
    <d v="2025-07-07T00:00:00"/>
    <s v="C2172"/>
    <s v="P1016"/>
    <n v="3"/>
    <n v="34.369999999999997"/>
    <x v="249"/>
    <n v="30.933"/>
    <x v="3"/>
    <n v="7"/>
    <x v="8"/>
    <x v="0"/>
  </r>
  <r>
    <s v="ORD-5347"/>
    <d v="2024-12-02T00:00:00"/>
    <s v="C2265"/>
    <s v="P1021"/>
    <n v="5"/>
    <n v="165.9"/>
    <x v="250"/>
    <n v="248.85"/>
    <x v="0"/>
    <n v="2"/>
    <x v="5"/>
    <x v="1"/>
  </r>
  <r>
    <s v="ORD-5348"/>
    <d v="2025-11-03T00:00:00"/>
    <s v="C2243"/>
    <s v="P1008"/>
    <n v="8"/>
    <n v="68.41"/>
    <x v="251"/>
    <n v="164.184"/>
    <x v="2"/>
    <n v="3"/>
    <x v="10"/>
    <x v="0"/>
  </r>
  <r>
    <s v="ORD-5349"/>
    <d v="2024-08-04T00:00:00"/>
    <s v="C2177"/>
    <s v="P1012"/>
    <n v="7"/>
    <n v="112.61"/>
    <x v="228"/>
    <n v="236.48099999999999"/>
    <x v="3"/>
    <n v="4"/>
    <x v="9"/>
    <x v="1"/>
  </r>
  <r>
    <s v="ORD-5350"/>
    <d v="2025-04-28T00:00:00"/>
    <s v="C2270"/>
    <s v="P1044"/>
    <n v="1"/>
    <n v="104.84"/>
    <x v="189"/>
    <n v="31.451999999999998"/>
    <x v="0"/>
    <n v="28"/>
    <x v="6"/>
    <x v="0"/>
  </r>
  <r>
    <s v="ORD-5351"/>
    <d v="2025-09-11T00:00:00"/>
    <s v="C2173"/>
    <s v="P1011"/>
    <n v="5"/>
    <n v="78.92"/>
    <x v="129"/>
    <n v="118.38"/>
    <x v="1"/>
    <n v="11"/>
    <x v="11"/>
    <x v="0"/>
  </r>
  <r>
    <s v="ORD-5352"/>
    <d v="2025-01-10T00:00:00"/>
    <s v="C2214"/>
    <s v="P1031"/>
    <n v="10"/>
    <n v="107.88"/>
    <x v="252"/>
    <n v="323.64"/>
    <x v="1"/>
    <n v="10"/>
    <x v="3"/>
    <x v="0"/>
  </r>
  <r>
    <s v="ORD-5353"/>
    <d v="2024-11-25T00:00:00"/>
    <s v="C2086"/>
    <s v="P1028"/>
    <n v="9"/>
    <n v="73.89"/>
    <x v="127"/>
    <n v="199.50299999999999"/>
    <x v="1"/>
    <n v="25"/>
    <x v="10"/>
    <x v="1"/>
  </r>
  <r>
    <s v="ORD-5354"/>
    <d v="2024-12-25T00:00:00"/>
    <s v="C2498"/>
    <s v="P1001"/>
    <n v="4"/>
    <n v="108.19"/>
    <x v="213"/>
    <n v="129.828"/>
    <x v="0"/>
    <n v="25"/>
    <x v="5"/>
    <x v="1"/>
  </r>
  <r>
    <s v="ORD-5355"/>
    <d v="2024-11-25T00:00:00"/>
    <s v="C2173"/>
    <s v="P1024"/>
    <n v="4"/>
    <n v="180.47"/>
    <x v="48"/>
    <n v="216.56399999999999"/>
    <x v="2"/>
    <n v="25"/>
    <x v="10"/>
    <x v="1"/>
  </r>
  <r>
    <s v="ORD-5356"/>
    <d v="2025-11-06T00:00:00"/>
    <s v="C2454"/>
    <s v="P1019"/>
    <n v="1"/>
    <n v="182.55"/>
    <x v="112"/>
    <n v="54.765000000000001"/>
    <x v="0"/>
    <n v="6"/>
    <x v="10"/>
    <x v="0"/>
  </r>
  <r>
    <s v="ORD-5357"/>
    <d v="2025-12-11T00:00:00"/>
    <s v="C2164"/>
    <s v="P1046"/>
    <n v="1"/>
    <n v="89.24"/>
    <x v="128"/>
    <n v="26.771999999999998"/>
    <x v="3"/>
    <n v="11"/>
    <x v="5"/>
    <x v="0"/>
  </r>
  <r>
    <s v="ORD-5358"/>
    <d v="2025-04-21T00:00:00"/>
    <s v="C2150"/>
    <s v="P1039"/>
    <n v="3"/>
    <n v="103.45"/>
    <x v="253"/>
    <n v="93.105000000000004"/>
    <x v="1"/>
    <n v="21"/>
    <x v="6"/>
    <x v="0"/>
  </r>
  <r>
    <s v="ORD-5359"/>
    <d v="2024-06-26T00:00:00"/>
    <s v="C2225"/>
    <s v="P1037"/>
    <n v="7"/>
    <n v="49.95"/>
    <x v="22"/>
    <n v="104.895"/>
    <x v="3"/>
    <n v="26"/>
    <x v="7"/>
    <x v="1"/>
  </r>
  <r>
    <s v="ORD-5360"/>
    <d v="2024-04-12T00:00:00"/>
    <s v="C2313"/>
    <s v="P1034"/>
    <n v="7"/>
    <n v="41.45"/>
    <x v="76"/>
    <n v="87.044999999999987"/>
    <x v="3"/>
    <n v="12"/>
    <x v="6"/>
    <x v="1"/>
  </r>
  <r>
    <s v="ORD-5361"/>
    <d v="2025-12-30T00:00:00"/>
    <s v="C2436"/>
    <s v="P1040"/>
    <n v="5"/>
    <n v="58.12"/>
    <x v="254"/>
    <n v="87.18"/>
    <x v="2"/>
    <n v="30"/>
    <x v="5"/>
    <x v="0"/>
  </r>
  <r>
    <s v="ORD-5362"/>
    <d v="2025-01-17T00:00:00"/>
    <s v="C2017"/>
    <s v="P1045"/>
    <n v="2"/>
    <n v="115.1"/>
    <x v="139"/>
    <n v="69.059999999999988"/>
    <x v="0"/>
    <n v="17"/>
    <x v="3"/>
    <x v="0"/>
  </r>
  <r>
    <s v="ORD-5363"/>
    <d v="2024-04-29T00:00:00"/>
    <s v="C2052"/>
    <s v="P1041"/>
    <n v="7"/>
    <n v="28.49"/>
    <x v="113"/>
    <n v="59.829000000000001"/>
    <x v="2"/>
    <n v="29"/>
    <x v="6"/>
    <x v="1"/>
  </r>
  <r>
    <s v="ORD-5364"/>
    <d v="2025-06-29T00:00:00"/>
    <s v="C2273"/>
    <s v="P1021"/>
    <n v="8"/>
    <n v="165.9"/>
    <x v="10"/>
    <n v="398.16"/>
    <x v="0"/>
    <n v="29"/>
    <x v="7"/>
    <x v="0"/>
  </r>
  <r>
    <s v="ORD-5365"/>
    <d v="2025-08-06T00:00:00"/>
    <s v="C2245"/>
    <s v="P1022"/>
    <n v="10"/>
    <n v="195.89"/>
    <x v="58"/>
    <n v="587.66999999999996"/>
    <x v="1"/>
    <n v="6"/>
    <x v="9"/>
    <x v="0"/>
  </r>
  <r>
    <s v="ORD-5366"/>
    <d v="2024-06-03T00:00:00"/>
    <s v="C2336"/>
    <s v="P1043"/>
    <n v="1"/>
    <n v="17.22"/>
    <x v="255"/>
    <n v="5.1659999999999995"/>
    <x v="3"/>
    <n v="3"/>
    <x v="7"/>
    <x v="1"/>
  </r>
  <r>
    <s v="ORD-5367"/>
    <d v="2025-11-25T00:00:00"/>
    <s v="C2413"/>
    <s v="P1044"/>
    <n v="1"/>
    <n v="104.84"/>
    <x v="189"/>
    <n v="31.451999999999998"/>
    <x v="2"/>
    <n v="25"/>
    <x v="10"/>
    <x v="0"/>
  </r>
  <r>
    <s v="ORD-5368"/>
    <d v="2024-11-21T00:00:00"/>
    <s v="C2199"/>
    <s v="P1043"/>
    <n v="10"/>
    <n v="17.22"/>
    <x v="256"/>
    <n v="51.66"/>
    <x v="0"/>
    <n v="21"/>
    <x v="10"/>
    <x v="1"/>
  </r>
  <r>
    <s v="ORD-5369"/>
    <d v="2024-02-06T00:00:00"/>
    <s v="C2120"/>
    <s v="P1009"/>
    <n v="5"/>
    <n v="134.61000000000001"/>
    <x v="257"/>
    <n v="201.91499999999999"/>
    <x v="2"/>
    <n v="6"/>
    <x v="4"/>
    <x v="1"/>
  </r>
  <r>
    <s v="ORD-5370"/>
    <d v="2024-04-17T00:00:00"/>
    <s v="C2442"/>
    <s v="P1043"/>
    <n v="2"/>
    <n v="17.22"/>
    <x v="258"/>
    <n v="10.331999999999999"/>
    <x v="0"/>
    <n v="17"/>
    <x v="6"/>
    <x v="1"/>
  </r>
  <r>
    <s v="ORD-5371"/>
    <d v="2024-05-02T00:00:00"/>
    <s v="C2217"/>
    <s v="P1030"/>
    <n v="9"/>
    <n v="12.47"/>
    <x v="148"/>
    <n v="33.668999999999997"/>
    <x v="3"/>
    <n v="2"/>
    <x v="2"/>
    <x v="1"/>
  </r>
  <r>
    <s v="ORD-5372"/>
    <d v="2025-03-11T00:00:00"/>
    <s v="C2164"/>
    <s v="P1019"/>
    <n v="10"/>
    <n v="182.55"/>
    <x v="103"/>
    <n v="547.65"/>
    <x v="1"/>
    <n v="11"/>
    <x v="1"/>
    <x v="0"/>
  </r>
  <r>
    <s v="ORD-5373"/>
    <d v="2024-07-24T00:00:00"/>
    <s v="C2172"/>
    <s v="P1003"/>
    <n v="8"/>
    <n v="29.47"/>
    <x v="197"/>
    <n v="70.727999999999994"/>
    <x v="2"/>
    <n v="24"/>
    <x v="8"/>
    <x v="1"/>
  </r>
  <r>
    <s v="ORD-5374"/>
    <d v="2024-01-22T00:00:00"/>
    <s v="C2476"/>
    <s v="P1003"/>
    <n v="4"/>
    <n v="29.47"/>
    <x v="259"/>
    <n v="35.363999999999997"/>
    <x v="0"/>
    <n v="22"/>
    <x v="3"/>
    <x v="1"/>
  </r>
  <r>
    <s v="ORD-5375"/>
    <d v="2025-08-05T00:00:00"/>
    <s v="C2110"/>
    <s v="P1008"/>
    <n v="6"/>
    <n v="68.41"/>
    <x v="193"/>
    <n v="123.13799999999999"/>
    <x v="1"/>
    <n v="5"/>
    <x v="9"/>
    <x v="0"/>
  </r>
  <r>
    <s v="ORD-5376"/>
    <d v="2025-03-30T00:00:00"/>
    <s v="C2091"/>
    <s v="P1034"/>
    <n v="9"/>
    <n v="41.45"/>
    <x v="107"/>
    <n v="111.91500000000001"/>
    <x v="0"/>
    <n v="30"/>
    <x v="1"/>
    <x v="0"/>
  </r>
  <r>
    <s v="ORD-5377"/>
    <d v="2024-07-30T00:00:00"/>
    <s v="C2221"/>
    <s v="P1001"/>
    <n v="6"/>
    <n v="108.19"/>
    <x v="79"/>
    <n v="194.74199999999999"/>
    <x v="2"/>
    <n v="30"/>
    <x v="8"/>
    <x v="1"/>
  </r>
  <r>
    <s v="ORD-5378"/>
    <d v="2025-01-24T00:00:00"/>
    <s v="C2204"/>
    <s v="P1023"/>
    <n v="3"/>
    <n v="157.13"/>
    <x v="67"/>
    <n v="141.417"/>
    <x v="3"/>
    <n v="24"/>
    <x v="3"/>
    <x v="0"/>
  </r>
  <r>
    <s v="ORD-5379"/>
    <d v="2024-04-14T00:00:00"/>
    <s v="C2061"/>
    <s v="P1034"/>
    <n v="6"/>
    <n v="41.45"/>
    <x v="260"/>
    <n v="74.61"/>
    <x v="0"/>
    <n v="14"/>
    <x v="6"/>
    <x v="1"/>
  </r>
  <r>
    <s v="ORD-5380"/>
    <d v="2024-09-09T00:00:00"/>
    <s v="C2454"/>
    <s v="P1039"/>
    <n v="6"/>
    <n v="103.45"/>
    <x v="219"/>
    <n v="186.21"/>
    <x v="0"/>
    <n v="9"/>
    <x v="11"/>
    <x v="1"/>
  </r>
  <r>
    <s v="ORD-5381"/>
    <d v="2025-07-02T00:00:00"/>
    <s v="C2267"/>
    <s v="P1020"/>
    <n v="10"/>
    <n v="24.62"/>
    <x v="236"/>
    <n v="73.86"/>
    <x v="0"/>
    <n v="2"/>
    <x v="8"/>
    <x v="0"/>
  </r>
  <r>
    <s v="ORD-5382"/>
    <d v="2025-08-24T00:00:00"/>
    <s v="C2117"/>
    <s v="P1016"/>
    <n v="2"/>
    <n v="34.369999999999997"/>
    <x v="261"/>
    <n v="20.621999999999996"/>
    <x v="3"/>
    <n v="24"/>
    <x v="9"/>
    <x v="0"/>
  </r>
  <r>
    <s v="ORD-5383"/>
    <d v="2025-12-26T00:00:00"/>
    <s v="C2447"/>
    <s v="P1024"/>
    <n v="2"/>
    <n v="180.47"/>
    <x v="262"/>
    <n v="108.282"/>
    <x v="3"/>
    <n v="26"/>
    <x v="5"/>
    <x v="0"/>
  </r>
  <r>
    <s v="ORD-5384"/>
    <d v="2025-02-11T00:00:00"/>
    <s v="C2228"/>
    <s v="P1036"/>
    <n v="10"/>
    <n v="53.74"/>
    <x v="263"/>
    <n v="161.22"/>
    <x v="0"/>
    <n v="11"/>
    <x v="4"/>
    <x v="0"/>
  </r>
  <r>
    <s v="ORD-5385"/>
    <d v="2024-04-16T00:00:00"/>
    <s v="C2035"/>
    <s v="P1045"/>
    <n v="10"/>
    <n v="115.1"/>
    <x v="264"/>
    <n v="345.3"/>
    <x v="0"/>
    <n v="16"/>
    <x v="6"/>
    <x v="1"/>
  </r>
  <r>
    <s v="ORD-5386"/>
    <d v="2025-04-01T00:00:00"/>
    <s v="C2284"/>
    <s v="P1038"/>
    <n v="1"/>
    <n v="86.37"/>
    <x v="26"/>
    <n v="25.911000000000001"/>
    <x v="1"/>
    <n v="1"/>
    <x v="6"/>
    <x v="0"/>
  </r>
  <r>
    <s v="ORD-5387"/>
    <d v="2025-09-28T00:00:00"/>
    <s v="C2032"/>
    <s v="P1047"/>
    <n v="1"/>
    <n v="118.95"/>
    <x v="265"/>
    <n v="35.685000000000002"/>
    <x v="1"/>
    <n v="28"/>
    <x v="11"/>
    <x v="0"/>
  </r>
  <r>
    <s v="ORD-5388"/>
    <d v="2024-02-15T00:00:00"/>
    <s v="C2094"/>
    <s v="P1033"/>
    <n v="3"/>
    <n v="18.850000000000001"/>
    <x v="152"/>
    <n v="16.965"/>
    <x v="1"/>
    <n v="15"/>
    <x v="4"/>
    <x v="1"/>
  </r>
  <r>
    <s v="ORD-5389"/>
    <d v="2025-04-23T00:00:00"/>
    <s v="C2001"/>
    <s v="P1011"/>
    <n v="10"/>
    <n v="78.92"/>
    <x v="266"/>
    <n v="236.76"/>
    <x v="1"/>
    <n v="23"/>
    <x v="6"/>
    <x v="0"/>
  </r>
  <r>
    <s v="ORD-5390"/>
    <d v="2024-05-26T00:00:00"/>
    <s v="C2407"/>
    <s v="P1023"/>
    <n v="1"/>
    <n v="157.13"/>
    <x v="267"/>
    <n v="47.138999999999996"/>
    <x v="3"/>
    <n v="26"/>
    <x v="2"/>
    <x v="1"/>
  </r>
  <r>
    <s v="ORD-5391"/>
    <d v="2024-02-07T00:00:00"/>
    <s v="C2451"/>
    <s v="P1050"/>
    <n v="5"/>
    <n v="48.76"/>
    <x v="46"/>
    <n v="73.14"/>
    <x v="2"/>
    <n v="7"/>
    <x v="4"/>
    <x v="1"/>
  </r>
  <r>
    <s v="ORD-5392"/>
    <d v="2025-01-01T00:00:00"/>
    <s v="C2241"/>
    <s v="P1048"/>
    <n v="1"/>
    <n v="20.28"/>
    <x v="268"/>
    <n v="6.0840000000000005"/>
    <x v="0"/>
    <n v="1"/>
    <x v="3"/>
    <x v="0"/>
  </r>
  <r>
    <s v="ORD-5393"/>
    <d v="2025-12-19T00:00:00"/>
    <s v="C2065"/>
    <s v="P1011"/>
    <n v="8"/>
    <n v="78.92"/>
    <x v="269"/>
    <n v="189.40799999999999"/>
    <x v="0"/>
    <n v="19"/>
    <x v="5"/>
    <x v="0"/>
  </r>
  <r>
    <s v="ORD-5394"/>
    <d v="2025-05-13T00:00:00"/>
    <s v="C2270"/>
    <s v="P1024"/>
    <n v="5"/>
    <n v="180.47"/>
    <x v="65"/>
    <n v="270.70499999999998"/>
    <x v="1"/>
    <n v="13"/>
    <x v="2"/>
    <x v="0"/>
  </r>
  <r>
    <s v="ORD-5395"/>
    <d v="2025-06-04T00:00:00"/>
    <s v="C2329"/>
    <s v="P1013"/>
    <n v="7"/>
    <n v="91.3"/>
    <x v="270"/>
    <n v="191.73"/>
    <x v="3"/>
    <n v="4"/>
    <x v="7"/>
    <x v="0"/>
  </r>
  <r>
    <s v="ORD-5396"/>
    <d v="2025-01-22T00:00:00"/>
    <s v="C2257"/>
    <s v="P1010"/>
    <n v="7"/>
    <n v="56.18"/>
    <x v="137"/>
    <n v="117.97799999999999"/>
    <x v="0"/>
    <n v="22"/>
    <x v="3"/>
    <x v="0"/>
  </r>
  <r>
    <s v="ORD-5397"/>
    <d v="2025-08-22T00:00:00"/>
    <s v="C2470"/>
    <s v="P1017"/>
    <n v="8"/>
    <n v="60.32"/>
    <x v="271"/>
    <n v="144.768"/>
    <x v="3"/>
    <n v="22"/>
    <x v="9"/>
    <x v="0"/>
  </r>
  <r>
    <s v="ORD-5398"/>
    <d v="2024-10-24T00:00:00"/>
    <s v="C2482"/>
    <s v="P1007"/>
    <n v="9"/>
    <n v="162.96"/>
    <x v="31"/>
    <n v="439.99200000000002"/>
    <x v="3"/>
    <n v="24"/>
    <x v="0"/>
    <x v="1"/>
  </r>
  <r>
    <s v="ORD-5399"/>
    <d v="2025-07-14T00:00:00"/>
    <s v="C2384"/>
    <s v="P1050"/>
    <n v="9"/>
    <n v="48.76"/>
    <x v="210"/>
    <n v="131.65199999999999"/>
    <x v="3"/>
    <n v="14"/>
    <x v="8"/>
    <x v="0"/>
  </r>
  <r>
    <s v="ORD-5400"/>
    <d v="2024-07-31T00:00:00"/>
    <s v="C2315"/>
    <s v="P1050"/>
    <n v="10"/>
    <n v="48.76"/>
    <x v="29"/>
    <n v="146.28"/>
    <x v="3"/>
    <n v="31"/>
    <x v="8"/>
    <x v="1"/>
  </r>
  <r>
    <s v="ORD-5401"/>
    <d v="2024-01-01T00:00:00"/>
    <s v="C2191"/>
    <s v="P1042"/>
    <n v="7"/>
    <n v="35.03"/>
    <x v="239"/>
    <n v="73.563000000000002"/>
    <x v="0"/>
    <n v="1"/>
    <x v="3"/>
    <x v="1"/>
  </r>
  <r>
    <s v="ORD-5402"/>
    <d v="2024-03-19T00:00:00"/>
    <s v="C2076"/>
    <s v="P1029"/>
    <n v="7"/>
    <n v="162.21"/>
    <x v="205"/>
    <n v="340.64100000000002"/>
    <x v="0"/>
    <n v="19"/>
    <x v="1"/>
    <x v="1"/>
  </r>
  <r>
    <s v="ORD-5403"/>
    <d v="2025-11-18T00:00:00"/>
    <s v="C2376"/>
    <s v="P1011"/>
    <n v="4"/>
    <n v="78.92"/>
    <x v="272"/>
    <n v="94.703999999999994"/>
    <x v="3"/>
    <n v="18"/>
    <x v="10"/>
    <x v="0"/>
  </r>
  <r>
    <s v="ORD-5404"/>
    <d v="2025-10-30T00:00:00"/>
    <s v="C2384"/>
    <s v="P1035"/>
    <n v="3"/>
    <n v="176.31"/>
    <x v="273"/>
    <n v="158.67899999999997"/>
    <x v="1"/>
    <n v="30"/>
    <x v="0"/>
    <x v="0"/>
  </r>
  <r>
    <s v="ORD-5405"/>
    <d v="2025-03-17T00:00:00"/>
    <s v="C2197"/>
    <s v="P1034"/>
    <n v="5"/>
    <n v="41.45"/>
    <x v="32"/>
    <n v="62.174999999999997"/>
    <x v="0"/>
    <n v="17"/>
    <x v="1"/>
    <x v="0"/>
  </r>
  <r>
    <s v="ORD-5406"/>
    <d v="2025-10-27T00:00:00"/>
    <s v="C2012"/>
    <s v="P1002"/>
    <n v="10"/>
    <n v="89.88"/>
    <x v="274"/>
    <n v="269.64"/>
    <x v="0"/>
    <n v="27"/>
    <x v="0"/>
    <x v="0"/>
  </r>
  <r>
    <s v="ORD-5407"/>
    <d v="2025-05-16T00:00:00"/>
    <s v="C2092"/>
    <s v="P1046"/>
    <n v="4"/>
    <n v="89.24"/>
    <x v="275"/>
    <n v="107.08799999999999"/>
    <x v="0"/>
    <n v="16"/>
    <x v="2"/>
    <x v="0"/>
  </r>
  <r>
    <s v="ORD-5408"/>
    <d v="2025-03-24T00:00:00"/>
    <s v="C2147"/>
    <s v="P1009"/>
    <n v="7"/>
    <n v="134.61000000000001"/>
    <x v="276"/>
    <n v="282.68099999999998"/>
    <x v="2"/>
    <n v="24"/>
    <x v="1"/>
    <x v="0"/>
  </r>
  <r>
    <s v="ORD-5409"/>
    <d v="2025-08-24T00:00:00"/>
    <s v="C2207"/>
    <s v="P1049"/>
    <n v="5"/>
    <n v="29.94"/>
    <x v="277"/>
    <n v="44.91"/>
    <x v="0"/>
    <n v="24"/>
    <x v="9"/>
    <x v="0"/>
  </r>
  <r>
    <s v="ORD-5410"/>
    <d v="2025-12-26T00:00:00"/>
    <s v="C2369"/>
    <s v="P1026"/>
    <n v="5"/>
    <n v="64.62"/>
    <x v="170"/>
    <n v="96.93"/>
    <x v="2"/>
    <n v="26"/>
    <x v="5"/>
    <x v="0"/>
  </r>
  <r>
    <s v="ORD-5411"/>
    <d v="2024-02-09T00:00:00"/>
    <s v="C2058"/>
    <s v="P1012"/>
    <n v="4"/>
    <n v="112.61"/>
    <x v="44"/>
    <n v="135.13200000000001"/>
    <x v="1"/>
    <n v="9"/>
    <x v="4"/>
    <x v="1"/>
  </r>
  <r>
    <s v="ORD-5412"/>
    <d v="2024-03-26T00:00:00"/>
    <s v="C2472"/>
    <s v="P1017"/>
    <n v="4"/>
    <n v="60.32"/>
    <x v="240"/>
    <n v="72.384"/>
    <x v="0"/>
    <n v="26"/>
    <x v="1"/>
    <x v="1"/>
  </r>
  <r>
    <s v="ORD-5413"/>
    <d v="2025-07-25T00:00:00"/>
    <s v="C2385"/>
    <s v="P1028"/>
    <n v="3"/>
    <n v="73.89"/>
    <x v="278"/>
    <n v="66.500999999999991"/>
    <x v="2"/>
    <n v="25"/>
    <x v="8"/>
    <x v="0"/>
  </r>
  <r>
    <s v="ORD-5414"/>
    <d v="2025-05-02T00:00:00"/>
    <s v="C2309"/>
    <s v="P1029"/>
    <n v="5"/>
    <n v="162.21"/>
    <x v="234"/>
    <n v="243.31499999999997"/>
    <x v="1"/>
    <n v="2"/>
    <x v="2"/>
    <x v="0"/>
  </r>
  <r>
    <s v="ORD-5415"/>
    <d v="2024-01-27T00:00:00"/>
    <s v="C2432"/>
    <s v="P1036"/>
    <n v="4"/>
    <n v="53.74"/>
    <x v="118"/>
    <n v="64.488"/>
    <x v="3"/>
    <n v="27"/>
    <x v="3"/>
    <x v="1"/>
  </r>
  <r>
    <s v="ORD-5416"/>
    <d v="2024-10-23T00:00:00"/>
    <s v="C2007"/>
    <s v="P1015"/>
    <n v="1"/>
    <n v="52.45"/>
    <x v="244"/>
    <n v="15.734999999999999"/>
    <x v="1"/>
    <n v="23"/>
    <x v="0"/>
    <x v="1"/>
  </r>
  <r>
    <s v="ORD-5417"/>
    <d v="2024-12-26T00:00:00"/>
    <s v="C2133"/>
    <s v="P1030"/>
    <n v="4"/>
    <n v="12.47"/>
    <x v="279"/>
    <n v="14.964"/>
    <x v="2"/>
    <n v="26"/>
    <x v="5"/>
    <x v="1"/>
  </r>
  <r>
    <s v="ORD-5418"/>
    <d v="2025-02-23T00:00:00"/>
    <s v="C2204"/>
    <s v="P1001"/>
    <n v="10"/>
    <n v="108.19"/>
    <x v="280"/>
    <n v="324.57"/>
    <x v="3"/>
    <n v="23"/>
    <x v="4"/>
    <x v="0"/>
  </r>
  <r>
    <s v="ORD-5419"/>
    <d v="2024-05-01T00:00:00"/>
    <s v="C2070"/>
    <s v="P1007"/>
    <n v="10"/>
    <n v="162.96"/>
    <x v="231"/>
    <n v="488.87999999999994"/>
    <x v="1"/>
    <n v="1"/>
    <x v="2"/>
    <x v="1"/>
  </r>
  <r>
    <s v="ORD-5420"/>
    <d v="2025-07-19T00:00:00"/>
    <s v="C2009"/>
    <s v="P1036"/>
    <n v="1"/>
    <n v="53.74"/>
    <x v="71"/>
    <n v="16.122"/>
    <x v="2"/>
    <n v="19"/>
    <x v="8"/>
    <x v="0"/>
  </r>
  <r>
    <s v="ORD-5421"/>
    <d v="2024-10-08T00:00:00"/>
    <s v="C2471"/>
    <s v="P1028"/>
    <n v="3"/>
    <n v="73.89"/>
    <x v="278"/>
    <n v="66.500999999999991"/>
    <x v="0"/>
    <n v="8"/>
    <x v="0"/>
    <x v="1"/>
  </r>
  <r>
    <s v="ORD-5422"/>
    <d v="2024-12-27T00:00:00"/>
    <s v="C2086"/>
    <s v="P1045"/>
    <n v="6"/>
    <n v="115.1"/>
    <x v="281"/>
    <n v="207.18"/>
    <x v="0"/>
    <n v="27"/>
    <x v="5"/>
    <x v="1"/>
  </r>
  <r>
    <s v="ORD-5423"/>
    <d v="2025-05-11T00:00:00"/>
    <s v="C2144"/>
    <s v="P1047"/>
    <n v="1"/>
    <n v="118.95"/>
    <x v="265"/>
    <n v="35.685000000000002"/>
    <x v="3"/>
    <n v="11"/>
    <x v="2"/>
    <x v="0"/>
  </r>
  <r>
    <s v="ORD-5424"/>
    <d v="2025-12-08T00:00:00"/>
    <s v="C2253"/>
    <s v="P1004"/>
    <n v="8"/>
    <n v="28.55"/>
    <x v="282"/>
    <n v="68.52"/>
    <x v="1"/>
    <n v="8"/>
    <x v="5"/>
    <x v="0"/>
  </r>
  <r>
    <s v="ORD-5425"/>
    <d v="2025-08-27T00:00:00"/>
    <s v="C2103"/>
    <s v="P1030"/>
    <n v="7"/>
    <n v="12.47"/>
    <x v="283"/>
    <n v="26.187000000000001"/>
    <x v="1"/>
    <n v="27"/>
    <x v="9"/>
    <x v="0"/>
  </r>
  <r>
    <s v="ORD-5426"/>
    <d v="2025-08-30T00:00:00"/>
    <s v="C2451"/>
    <s v="P1026"/>
    <n v="3"/>
    <n v="64.62"/>
    <x v="136"/>
    <n v="58.158000000000001"/>
    <x v="2"/>
    <n v="30"/>
    <x v="9"/>
    <x v="0"/>
  </r>
  <r>
    <s v="ORD-5427"/>
    <d v="2024-06-30T00:00:00"/>
    <s v="C2469"/>
    <s v="P1048"/>
    <n v="7"/>
    <n v="20.28"/>
    <x v="220"/>
    <n v="42.588000000000001"/>
    <x v="1"/>
    <n v="30"/>
    <x v="7"/>
    <x v="1"/>
  </r>
  <r>
    <s v="ORD-5428"/>
    <d v="2025-12-24T00:00:00"/>
    <s v="C2379"/>
    <s v="P1035"/>
    <n v="1"/>
    <n v="176.31"/>
    <x v="95"/>
    <n v="52.893000000000001"/>
    <x v="0"/>
    <n v="24"/>
    <x v="5"/>
    <x v="0"/>
  </r>
  <r>
    <s v="ORD-5429"/>
    <d v="2025-04-04T00:00:00"/>
    <s v="C2273"/>
    <s v="P1002"/>
    <n v="5"/>
    <n v="89.88"/>
    <x v="50"/>
    <n v="134.82"/>
    <x v="3"/>
    <n v="4"/>
    <x v="6"/>
    <x v="0"/>
  </r>
  <r>
    <s v="ORD-5430"/>
    <d v="2024-01-29T00:00:00"/>
    <s v="C2118"/>
    <s v="P1041"/>
    <n v="10"/>
    <n v="28.49"/>
    <x v="284"/>
    <n v="85.469999999999985"/>
    <x v="0"/>
    <n v="29"/>
    <x v="3"/>
    <x v="1"/>
  </r>
  <r>
    <s v="ORD-5431"/>
    <d v="2025-08-04T00:00:00"/>
    <s v="C2081"/>
    <s v="P1015"/>
    <n v="10"/>
    <n v="52.45"/>
    <x v="285"/>
    <n v="157.35"/>
    <x v="3"/>
    <n v="4"/>
    <x v="9"/>
    <x v="0"/>
  </r>
  <r>
    <s v="ORD-5432"/>
    <d v="2024-10-05T00:00:00"/>
    <s v="C2301"/>
    <s v="P1018"/>
    <n v="5"/>
    <n v="38.93"/>
    <x v="143"/>
    <n v="58.394999999999996"/>
    <x v="0"/>
    <n v="5"/>
    <x v="0"/>
    <x v="1"/>
  </r>
  <r>
    <s v="ORD-5433"/>
    <d v="2024-03-13T00:00:00"/>
    <s v="C2458"/>
    <s v="P1012"/>
    <n v="9"/>
    <n v="112.61"/>
    <x v="37"/>
    <n v="304.04699999999997"/>
    <x v="1"/>
    <n v="13"/>
    <x v="1"/>
    <x v="1"/>
  </r>
  <r>
    <s v="ORD-5434"/>
    <d v="2024-09-10T00:00:00"/>
    <s v="C2333"/>
    <s v="P1024"/>
    <n v="5"/>
    <n v="180.47"/>
    <x v="65"/>
    <n v="270.70499999999998"/>
    <x v="0"/>
    <n v="10"/>
    <x v="11"/>
    <x v="1"/>
  </r>
  <r>
    <s v="ORD-5435"/>
    <d v="2024-11-03T00:00:00"/>
    <s v="C2073"/>
    <s v="P1031"/>
    <n v="7"/>
    <n v="107.88"/>
    <x v="180"/>
    <n v="226.54799999999997"/>
    <x v="2"/>
    <n v="3"/>
    <x v="10"/>
    <x v="1"/>
  </r>
  <r>
    <s v="ORD-5436"/>
    <d v="2025-12-18T00:00:00"/>
    <s v="C2354"/>
    <s v="P1040"/>
    <n v="2"/>
    <n v="58.12"/>
    <x v="286"/>
    <n v="34.872"/>
    <x v="3"/>
    <n v="18"/>
    <x v="5"/>
    <x v="0"/>
  </r>
  <r>
    <s v="ORD-5437"/>
    <d v="2025-08-23T00:00:00"/>
    <s v="C2008"/>
    <s v="P1021"/>
    <n v="4"/>
    <n v="165.9"/>
    <x v="204"/>
    <n v="199.08"/>
    <x v="1"/>
    <n v="23"/>
    <x v="9"/>
    <x v="0"/>
  </r>
  <r>
    <s v="ORD-5438"/>
    <d v="2025-11-25T00:00:00"/>
    <s v="C2056"/>
    <s v="P1016"/>
    <n v="1"/>
    <n v="34.369999999999997"/>
    <x v="287"/>
    <n v="10.310999999999998"/>
    <x v="0"/>
    <n v="25"/>
    <x v="10"/>
    <x v="0"/>
  </r>
  <r>
    <s v="ORD-5439"/>
    <d v="2024-09-04T00:00:00"/>
    <s v="C2354"/>
    <s v="P1050"/>
    <n v="3"/>
    <n v="48.76"/>
    <x v="24"/>
    <n v="43.884"/>
    <x v="0"/>
    <n v="4"/>
    <x v="11"/>
    <x v="1"/>
  </r>
  <r>
    <s v="ORD-5440"/>
    <d v="2025-09-06T00:00:00"/>
    <s v="C2241"/>
    <s v="P1026"/>
    <n v="1"/>
    <n v="64.62"/>
    <x v="13"/>
    <n v="19.385999999999999"/>
    <x v="3"/>
    <n v="6"/>
    <x v="11"/>
    <x v="0"/>
  </r>
  <r>
    <s v="ORD-5441"/>
    <d v="2025-08-10T00:00:00"/>
    <s v="C2204"/>
    <s v="P1018"/>
    <n v="3"/>
    <n v="38.93"/>
    <x v="288"/>
    <n v="35.036999999999999"/>
    <x v="3"/>
    <n v="10"/>
    <x v="9"/>
    <x v="0"/>
  </r>
  <r>
    <s v="ORD-5442"/>
    <d v="2025-01-07T00:00:00"/>
    <s v="C2193"/>
    <s v="P1041"/>
    <n v="1"/>
    <n v="28.49"/>
    <x v="104"/>
    <n v="8.5469999999999988"/>
    <x v="0"/>
    <n v="7"/>
    <x v="3"/>
    <x v="0"/>
  </r>
  <r>
    <s v="ORD-5443"/>
    <d v="2024-01-31T00:00:00"/>
    <s v="C2498"/>
    <s v="P1046"/>
    <n v="1"/>
    <n v="89.24"/>
    <x v="128"/>
    <n v="26.771999999999998"/>
    <x v="2"/>
    <n v="31"/>
    <x v="3"/>
    <x v="1"/>
  </r>
  <r>
    <s v="ORD-5444"/>
    <d v="2024-10-13T00:00:00"/>
    <s v="C2408"/>
    <s v="P1017"/>
    <n v="2"/>
    <n v="60.32"/>
    <x v="51"/>
    <n v="36.192"/>
    <x v="2"/>
    <n v="13"/>
    <x v="0"/>
    <x v="1"/>
  </r>
  <r>
    <s v="ORD-5445"/>
    <d v="2025-08-06T00:00:00"/>
    <s v="C2461"/>
    <s v="P1011"/>
    <n v="3"/>
    <n v="78.92"/>
    <x v="289"/>
    <n v="71.027999999999992"/>
    <x v="0"/>
    <n v="6"/>
    <x v="9"/>
    <x v="0"/>
  </r>
  <r>
    <s v="ORD-5446"/>
    <d v="2024-12-19T00:00:00"/>
    <s v="C2173"/>
    <s v="P1039"/>
    <n v="10"/>
    <n v="103.45"/>
    <x v="290"/>
    <n v="310.34999999999997"/>
    <x v="3"/>
    <n v="19"/>
    <x v="5"/>
    <x v="1"/>
  </r>
  <r>
    <s v="ORD-5447"/>
    <d v="2025-03-01T00:00:00"/>
    <s v="C2314"/>
    <s v="P1027"/>
    <n v="9"/>
    <n v="134.32"/>
    <x v="105"/>
    <n v="362.66400000000004"/>
    <x v="1"/>
    <n v="1"/>
    <x v="1"/>
    <x v="0"/>
  </r>
  <r>
    <s v="ORD-5448"/>
    <d v="2025-08-14T00:00:00"/>
    <s v="C2149"/>
    <s v="P1020"/>
    <n v="9"/>
    <n v="24.62"/>
    <x v="154"/>
    <n v="66.474000000000004"/>
    <x v="2"/>
    <n v="14"/>
    <x v="9"/>
    <x v="0"/>
  </r>
  <r>
    <s v="ORD-5449"/>
    <d v="2024-05-18T00:00:00"/>
    <s v="C2447"/>
    <s v="P1001"/>
    <n v="8"/>
    <n v="108.19"/>
    <x v="291"/>
    <n v="259.65600000000001"/>
    <x v="3"/>
    <n v="18"/>
    <x v="2"/>
    <x v="1"/>
  </r>
  <r>
    <s v="ORD-5450"/>
    <d v="2024-08-01T00:00:00"/>
    <s v="C2268"/>
    <s v="P1009"/>
    <n v="2"/>
    <n v="134.61000000000001"/>
    <x v="292"/>
    <n v="80.766000000000005"/>
    <x v="0"/>
    <n v="1"/>
    <x v="9"/>
    <x v="1"/>
  </r>
  <r>
    <s v="ORD-5451"/>
    <d v="2025-12-28T00:00:00"/>
    <s v="C2369"/>
    <s v="P1020"/>
    <n v="8"/>
    <n v="24.62"/>
    <x v="62"/>
    <n v="59.088000000000001"/>
    <x v="3"/>
    <n v="28"/>
    <x v="5"/>
    <x v="0"/>
  </r>
  <r>
    <s v="ORD-5452"/>
    <d v="2024-07-14T00:00:00"/>
    <s v="C2495"/>
    <s v="P1001"/>
    <n v="2"/>
    <n v="108.19"/>
    <x v="190"/>
    <n v="64.914000000000001"/>
    <x v="1"/>
    <n v="14"/>
    <x v="8"/>
    <x v="1"/>
  </r>
  <r>
    <s v="ORD-5453"/>
    <d v="2025-12-29T00:00:00"/>
    <s v="C2295"/>
    <s v="P1014"/>
    <n v="1"/>
    <n v="193.35"/>
    <x v="88"/>
    <n v="58.004999999999995"/>
    <x v="0"/>
    <n v="29"/>
    <x v="5"/>
    <x v="0"/>
  </r>
  <r>
    <s v="ORD-5454"/>
    <d v="2024-09-25T00:00:00"/>
    <s v="C2073"/>
    <s v="P1043"/>
    <n v="5"/>
    <n v="17.22"/>
    <x v="293"/>
    <n v="25.83"/>
    <x v="1"/>
    <n v="25"/>
    <x v="11"/>
    <x v="1"/>
  </r>
  <r>
    <s v="ORD-5455"/>
    <d v="2025-11-08T00:00:00"/>
    <s v="C2050"/>
    <s v="P1039"/>
    <n v="8"/>
    <n v="103.45"/>
    <x v="294"/>
    <n v="248.28"/>
    <x v="1"/>
    <n v="8"/>
    <x v="10"/>
    <x v="0"/>
  </r>
  <r>
    <s v="ORD-5456"/>
    <d v="2025-09-18T00:00:00"/>
    <s v="C2396"/>
    <s v="P1015"/>
    <n v="2"/>
    <n v="52.45"/>
    <x v="68"/>
    <n v="31.47"/>
    <x v="0"/>
    <n v="18"/>
    <x v="11"/>
    <x v="0"/>
  </r>
  <r>
    <s v="ORD-5457"/>
    <d v="2025-05-01T00:00:00"/>
    <s v="C2175"/>
    <s v="P1010"/>
    <n v="4"/>
    <n v="56.18"/>
    <x v="227"/>
    <n v="67.415999999999997"/>
    <x v="1"/>
    <n v="1"/>
    <x v="2"/>
    <x v="0"/>
  </r>
  <r>
    <s v="ORD-5458"/>
    <d v="2024-01-11T00:00:00"/>
    <s v="C2401"/>
    <s v="P1045"/>
    <n v="5"/>
    <n v="115.1"/>
    <x v="125"/>
    <n v="172.65"/>
    <x v="1"/>
    <n v="11"/>
    <x v="3"/>
    <x v="1"/>
  </r>
  <r>
    <s v="ORD-5459"/>
    <d v="2025-06-22T00:00:00"/>
    <s v="C2208"/>
    <s v="P1021"/>
    <n v="3"/>
    <n v="165.9"/>
    <x v="295"/>
    <n v="149.31"/>
    <x v="0"/>
    <n v="22"/>
    <x v="7"/>
    <x v="0"/>
  </r>
  <r>
    <s v="ORD-5460"/>
    <d v="2024-10-13T00:00:00"/>
    <s v="C2436"/>
    <s v="P1017"/>
    <n v="4"/>
    <n v="60.32"/>
    <x v="240"/>
    <n v="72.384"/>
    <x v="3"/>
    <n v="13"/>
    <x v="0"/>
    <x v="1"/>
  </r>
  <r>
    <s v="ORD-5461"/>
    <d v="2025-07-10T00:00:00"/>
    <s v="C2453"/>
    <s v="P1049"/>
    <n v="2"/>
    <n v="29.94"/>
    <x v="296"/>
    <n v="17.963999999999999"/>
    <x v="1"/>
    <n v="10"/>
    <x v="8"/>
    <x v="0"/>
  </r>
  <r>
    <s v="ORD-5462"/>
    <d v="2024-06-29T00:00:00"/>
    <s v="C2142"/>
    <s v="P1018"/>
    <n v="10"/>
    <n v="38.93"/>
    <x v="15"/>
    <n v="116.78999999999999"/>
    <x v="2"/>
    <n v="29"/>
    <x v="7"/>
    <x v="1"/>
  </r>
  <r>
    <s v="ORD-5463"/>
    <d v="2024-03-19T00:00:00"/>
    <s v="C2158"/>
    <s v="P1018"/>
    <n v="9"/>
    <n v="38.93"/>
    <x v="144"/>
    <n v="105.111"/>
    <x v="1"/>
    <n v="19"/>
    <x v="1"/>
    <x v="1"/>
  </r>
  <r>
    <s v="ORD-5464"/>
    <d v="2025-05-13T00:00:00"/>
    <s v="C2125"/>
    <s v="P1042"/>
    <n v="6"/>
    <n v="35.03"/>
    <x v="242"/>
    <n v="63.054000000000002"/>
    <x v="0"/>
    <n v="13"/>
    <x v="2"/>
    <x v="0"/>
  </r>
  <r>
    <s v="ORD-5465"/>
    <d v="2024-09-19T00:00:00"/>
    <s v="C2166"/>
    <s v="P1037"/>
    <n v="2"/>
    <n v="49.95"/>
    <x v="297"/>
    <n v="29.97"/>
    <x v="2"/>
    <n v="19"/>
    <x v="11"/>
    <x v="1"/>
  </r>
  <r>
    <s v="ORD-5466"/>
    <d v="2024-10-30T00:00:00"/>
    <s v="C2183"/>
    <s v="P1015"/>
    <n v="7"/>
    <n v="52.45"/>
    <x v="42"/>
    <n v="110.145"/>
    <x v="2"/>
    <n v="30"/>
    <x v="0"/>
    <x v="1"/>
  </r>
  <r>
    <s v="ORD-5467"/>
    <d v="2025-05-03T00:00:00"/>
    <s v="C2380"/>
    <s v="P1027"/>
    <n v="8"/>
    <n v="134.32"/>
    <x v="97"/>
    <n v="322.36799999999999"/>
    <x v="3"/>
    <n v="3"/>
    <x v="2"/>
    <x v="0"/>
  </r>
  <r>
    <s v="ORD-5468"/>
    <d v="2024-07-23T00:00:00"/>
    <s v="C2275"/>
    <s v="P1034"/>
    <n v="5"/>
    <n v="41.45"/>
    <x v="32"/>
    <n v="62.174999999999997"/>
    <x v="3"/>
    <n v="23"/>
    <x v="8"/>
    <x v="1"/>
  </r>
  <r>
    <s v="ORD-5469"/>
    <d v="2025-08-17T00:00:00"/>
    <s v="C2016"/>
    <s v="P1036"/>
    <n v="2"/>
    <n v="53.74"/>
    <x v="230"/>
    <n v="32.244"/>
    <x v="0"/>
    <n v="17"/>
    <x v="9"/>
    <x v="0"/>
  </r>
  <r>
    <s v="ORD-5470"/>
    <d v="2025-05-09T00:00:00"/>
    <s v="C2410"/>
    <s v="P1032"/>
    <n v="4"/>
    <n v="52.52"/>
    <x v="132"/>
    <n v="63.024000000000001"/>
    <x v="2"/>
    <n v="9"/>
    <x v="2"/>
    <x v="0"/>
  </r>
  <r>
    <s v="ORD-5471"/>
    <d v="2025-11-27T00:00:00"/>
    <s v="C2378"/>
    <s v="P1033"/>
    <n v="3"/>
    <n v="18.850000000000001"/>
    <x v="152"/>
    <n v="16.965"/>
    <x v="3"/>
    <n v="27"/>
    <x v="10"/>
    <x v="0"/>
  </r>
  <r>
    <s v="ORD-5472"/>
    <d v="2025-11-19T00:00:00"/>
    <s v="C2130"/>
    <s v="P1017"/>
    <n v="8"/>
    <n v="60.32"/>
    <x v="271"/>
    <n v="144.768"/>
    <x v="2"/>
    <n v="19"/>
    <x v="10"/>
    <x v="0"/>
  </r>
  <r>
    <s v="ORD-5473"/>
    <d v="2024-12-27T00:00:00"/>
    <s v="C2254"/>
    <s v="P1044"/>
    <n v="1"/>
    <n v="104.84"/>
    <x v="189"/>
    <n v="31.451999999999998"/>
    <x v="2"/>
    <n v="27"/>
    <x v="5"/>
    <x v="1"/>
  </r>
  <r>
    <s v="ORD-5474"/>
    <d v="2025-10-06T00:00:00"/>
    <s v="C2239"/>
    <s v="P1018"/>
    <n v="10"/>
    <n v="38.93"/>
    <x v="15"/>
    <n v="116.78999999999999"/>
    <x v="3"/>
    <n v="6"/>
    <x v="0"/>
    <x v="0"/>
  </r>
  <r>
    <s v="ORD-5475"/>
    <d v="2024-02-13T00:00:00"/>
    <s v="C2026"/>
    <s v="P1029"/>
    <n v="9"/>
    <n v="162.21"/>
    <x v="27"/>
    <n v="437.96700000000004"/>
    <x v="2"/>
    <n v="13"/>
    <x v="4"/>
    <x v="1"/>
  </r>
  <r>
    <s v="ORD-5476"/>
    <d v="2024-09-12T00:00:00"/>
    <s v="C2296"/>
    <s v="P1031"/>
    <n v="5"/>
    <n v="107.88"/>
    <x v="298"/>
    <n v="161.82"/>
    <x v="1"/>
    <n v="12"/>
    <x v="11"/>
    <x v="1"/>
  </r>
  <r>
    <s v="ORD-5477"/>
    <d v="2025-05-31T00:00:00"/>
    <s v="C2128"/>
    <s v="P1021"/>
    <n v="3"/>
    <n v="165.9"/>
    <x v="295"/>
    <n v="149.31"/>
    <x v="0"/>
    <n v="31"/>
    <x v="2"/>
    <x v="0"/>
  </r>
  <r>
    <s v="ORD-5478"/>
    <d v="2025-07-14T00:00:00"/>
    <s v="C2338"/>
    <s v="P1009"/>
    <n v="6"/>
    <n v="134.61000000000001"/>
    <x v="299"/>
    <n v="242.29799999999997"/>
    <x v="3"/>
    <n v="14"/>
    <x v="8"/>
    <x v="0"/>
  </r>
  <r>
    <s v="ORD-5479"/>
    <d v="2025-01-08T00:00:00"/>
    <s v="C2303"/>
    <s v="P1011"/>
    <n v="3"/>
    <n v="78.92"/>
    <x v="289"/>
    <n v="71.027999999999992"/>
    <x v="1"/>
    <n v="8"/>
    <x v="3"/>
    <x v="0"/>
  </r>
  <r>
    <s v="ORD-5480"/>
    <d v="2024-04-16T00:00:00"/>
    <s v="C2229"/>
    <s v="P1008"/>
    <n v="7"/>
    <n v="68.41"/>
    <x v="300"/>
    <n v="143.661"/>
    <x v="0"/>
    <n v="16"/>
    <x v="6"/>
    <x v="1"/>
  </r>
  <r>
    <s v="ORD-5481"/>
    <d v="2025-03-26T00:00:00"/>
    <s v="C2136"/>
    <s v="P1037"/>
    <n v="4"/>
    <n v="49.95"/>
    <x v="56"/>
    <n v="59.94"/>
    <x v="1"/>
    <n v="26"/>
    <x v="1"/>
    <x v="0"/>
  </r>
  <r>
    <s v="ORD-5482"/>
    <d v="2025-02-21T00:00:00"/>
    <s v="C2408"/>
    <s v="P1025"/>
    <n v="1"/>
    <n v="185.22"/>
    <x v="301"/>
    <n v="55.565999999999995"/>
    <x v="0"/>
    <n v="21"/>
    <x v="4"/>
    <x v="0"/>
  </r>
  <r>
    <s v="ORD-5483"/>
    <d v="2024-03-05T00:00:00"/>
    <s v="C2063"/>
    <s v="P1045"/>
    <n v="7"/>
    <n v="115.1"/>
    <x v="302"/>
    <n v="241.71"/>
    <x v="1"/>
    <n v="5"/>
    <x v="1"/>
    <x v="1"/>
  </r>
  <r>
    <s v="ORD-5484"/>
    <d v="2024-07-15T00:00:00"/>
    <s v="C2325"/>
    <s v="P1029"/>
    <n v="4"/>
    <n v="162.21"/>
    <x v="303"/>
    <n v="194.65200000000002"/>
    <x v="0"/>
    <n v="15"/>
    <x v="8"/>
    <x v="1"/>
  </r>
  <r>
    <s v="ORD-5485"/>
    <d v="2024-04-06T00:00:00"/>
    <s v="C2059"/>
    <s v="P1032"/>
    <n v="7"/>
    <n v="52.52"/>
    <x v="304"/>
    <n v="110.29199999999999"/>
    <x v="0"/>
    <n v="6"/>
    <x v="6"/>
    <x v="1"/>
  </r>
  <r>
    <s v="ORD-5486"/>
    <d v="2025-11-10T00:00:00"/>
    <s v="C2475"/>
    <s v="P1005"/>
    <n v="9"/>
    <n v="74.61"/>
    <x v="188"/>
    <n v="201.447"/>
    <x v="3"/>
    <n v="10"/>
    <x v="10"/>
    <x v="0"/>
  </r>
  <r>
    <s v="ORD-5487"/>
    <d v="2025-04-09T00:00:00"/>
    <s v="C2246"/>
    <s v="P1050"/>
    <n v="7"/>
    <n v="48.76"/>
    <x v="305"/>
    <n v="102.396"/>
    <x v="3"/>
    <n v="9"/>
    <x v="6"/>
    <x v="0"/>
  </r>
  <r>
    <s v="ORD-5488"/>
    <d v="2024-09-03T00:00:00"/>
    <s v="C2262"/>
    <s v="P1041"/>
    <n v="3"/>
    <n v="28.49"/>
    <x v="25"/>
    <n v="25.640999999999998"/>
    <x v="0"/>
    <n v="3"/>
    <x v="11"/>
    <x v="1"/>
  </r>
  <r>
    <s v="ORD-5489"/>
    <d v="2025-01-10T00:00:00"/>
    <s v="C2447"/>
    <s v="P1008"/>
    <n v="8"/>
    <n v="68.41"/>
    <x v="251"/>
    <n v="164.184"/>
    <x v="3"/>
    <n v="10"/>
    <x v="3"/>
    <x v="0"/>
  </r>
  <r>
    <s v="ORD-5490"/>
    <d v="2024-04-04T00:00:00"/>
    <s v="C2073"/>
    <s v="P1019"/>
    <n v="3"/>
    <n v="182.55"/>
    <x v="52"/>
    <n v="164.29499999999999"/>
    <x v="2"/>
    <n v="4"/>
    <x v="6"/>
    <x v="1"/>
  </r>
  <r>
    <s v="ORD-5491"/>
    <d v="2024-07-28T00:00:00"/>
    <s v="C2311"/>
    <s v="P1012"/>
    <n v="4"/>
    <n v="112.61"/>
    <x v="44"/>
    <n v="135.13200000000001"/>
    <x v="1"/>
    <n v="28"/>
    <x v="8"/>
    <x v="1"/>
  </r>
  <r>
    <s v="ORD-5492"/>
    <d v="2024-11-28T00:00:00"/>
    <s v="C2210"/>
    <s v="P1049"/>
    <n v="3"/>
    <n v="29.94"/>
    <x v="306"/>
    <n v="26.945999999999998"/>
    <x v="3"/>
    <n v="28"/>
    <x v="10"/>
    <x v="1"/>
  </r>
  <r>
    <s v="ORD-5493"/>
    <d v="2025-02-06T00:00:00"/>
    <s v="C2160"/>
    <s v="P1028"/>
    <n v="5"/>
    <n v="73.89"/>
    <x v="307"/>
    <n v="110.83499999999999"/>
    <x v="0"/>
    <n v="6"/>
    <x v="4"/>
    <x v="0"/>
  </r>
  <r>
    <s v="ORD-5494"/>
    <d v="2025-12-01T00:00:00"/>
    <s v="C2193"/>
    <s v="P1040"/>
    <n v="8"/>
    <n v="58.12"/>
    <x v="308"/>
    <n v="139.488"/>
    <x v="3"/>
    <n v="1"/>
    <x v="5"/>
    <x v="0"/>
  </r>
  <r>
    <s v="ORD-5495"/>
    <d v="2025-01-29T00:00:00"/>
    <s v="C2234"/>
    <s v="P1009"/>
    <n v="6"/>
    <n v="134.61000000000001"/>
    <x v="299"/>
    <n v="242.29799999999997"/>
    <x v="0"/>
    <n v="29"/>
    <x v="3"/>
    <x v="0"/>
  </r>
  <r>
    <s v="ORD-5496"/>
    <d v="2025-07-11T00:00:00"/>
    <s v="C2381"/>
    <s v="P1010"/>
    <n v="2"/>
    <n v="56.18"/>
    <x v="309"/>
    <n v="33.707999999999998"/>
    <x v="2"/>
    <n v="11"/>
    <x v="8"/>
    <x v="0"/>
  </r>
  <r>
    <s v="ORD-5497"/>
    <d v="2024-05-17T00:00:00"/>
    <s v="C2043"/>
    <s v="P1028"/>
    <n v="10"/>
    <n v="73.89"/>
    <x v="310"/>
    <n v="221.67"/>
    <x v="0"/>
    <n v="17"/>
    <x v="2"/>
    <x v="1"/>
  </r>
  <r>
    <s v="ORD-5498"/>
    <d v="2024-05-26T00:00:00"/>
    <s v="C2211"/>
    <s v="P1002"/>
    <n v="5"/>
    <n v="89.88"/>
    <x v="50"/>
    <n v="134.82"/>
    <x v="2"/>
    <n v="26"/>
    <x v="2"/>
    <x v="1"/>
  </r>
  <r>
    <s v="ORD-5499"/>
    <d v="2025-02-18T00:00:00"/>
    <s v="C2343"/>
    <s v="P1005"/>
    <n v="5"/>
    <n v="74.61"/>
    <x v="107"/>
    <n v="111.91500000000001"/>
    <x v="1"/>
    <n v="18"/>
    <x v="4"/>
    <x v="0"/>
  </r>
  <r>
    <s v="ORD-5500"/>
    <d v="2024-02-09T00:00:00"/>
    <s v="C2146"/>
    <s v="P1038"/>
    <n v="3"/>
    <n v="86.37"/>
    <x v="311"/>
    <n v="77.733000000000004"/>
    <x v="1"/>
    <n v="9"/>
    <x v="4"/>
    <x v="1"/>
  </r>
  <r>
    <s v="ORD-5501"/>
    <d v="2025-05-21T00:00:00"/>
    <s v="C2053"/>
    <s v="P1021"/>
    <n v="2"/>
    <n v="165.9"/>
    <x v="23"/>
    <n v="99.54"/>
    <x v="0"/>
    <n v="21"/>
    <x v="2"/>
    <x v="0"/>
  </r>
  <r>
    <s v="ORD-5502"/>
    <d v="2024-04-10T00:00:00"/>
    <s v="C2428"/>
    <s v="P1024"/>
    <n v="7"/>
    <n v="180.47"/>
    <x v="312"/>
    <n v="378.98699999999997"/>
    <x v="1"/>
    <n v="10"/>
    <x v="6"/>
    <x v="1"/>
  </r>
  <r>
    <s v="ORD-5503"/>
    <d v="2024-02-05T00:00:00"/>
    <s v="C2233"/>
    <s v="P1014"/>
    <n v="1"/>
    <n v="193.35"/>
    <x v="88"/>
    <n v="58.004999999999995"/>
    <x v="0"/>
    <n v="5"/>
    <x v="4"/>
    <x v="1"/>
  </r>
  <r>
    <s v="ORD-5504"/>
    <d v="2024-04-24T00:00:00"/>
    <s v="C2183"/>
    <s v="P1015"/>
    <n v="3"/>
    <n v="52.45"/>
    <x v="313"/>
    <n v="47.204999999999998"/>
    <x v="1"/>
    <n v="24"/>
    <x v="6"/>
    <x v="1"/>
  </r>
  <r>
    <s v="ORD-5505"/>
    <d v="2025-12-13T00:00:00"/>
    <s v="C2147"/>
    <s v="P1008"/>
    <n v="8"/>
    <n v="68.41"/>
    <x v="251"/>
    <n v="164.184"/>
    <x v="2"/>
    <n v="13"/>
    <x v="5"/>
    <x v="0"/>
  </r>
  <r>
    <s v="ORD-5506"/>
    <d v="2025-07-15T00:00:00"/>
    <s v="C2469"/>
    <s v="P1014"/>
    <n v="3"/>
    <n v="193.35"/>
    <x v="314"/>
    <n v="174.01499999999999"/>
    <x v="1"/>
    <n v="15"/>
    <x v="8"/>
    <x v="0"/>
  </r>
  <r>
    <s v="ORD-5507"/>
    <d v="2025-10-03T00:00:00"/>
    <s v="C2109"/>
    <s v="P1038"/>
    <n v="9"/>
    <n v="86.37"/>
    <x v="315"/>
    <n v="233.19900000000001"/>
    <x v="2"/>
    <n v="3"/>
    <x v="0"/>
    <x v="0"/>
  </r>
  <r>
    <s v="ORD-5508"/>
    <d v="2024-09-20T00:00:00"/>
    <s v="C2426"/>
    <s v="P1025"/>
    <n v="3"/>
    <n v="185.22"/>
    <x v="316"/>
    <n v="166.69799999999998"/>
    <x v="3"/>
    <n v="20"/>
    <x v="11"/>
    <x v="1"/>
  </r>
  <r>
    <s v="ORD-5509"/>
    <d v="2024-01-30T00:00:00"/>
    <s v="C2342"/>
    <s v="P1019"/>
    <n v="8"/>
    <n v="182.55"/>
    <x v="124"/>
    <n v="438.12"/>
    <x v="3"/>
    <n v="30"/>
    <x v="3"/>
    <x v="1"/>
  </r>
  <r>
    <s v="ORD-5510"/>
    <d v="2024-11-09T00:00:00"/>
    <s v="C2373"/>
    <s v="P1038"/>
    <n v="4"/>
    <n v="86.37"/>
    <x v="1"/>
    <n v="103.64400000000001"/>
    <x v="3"/>
    <n v="9"/>
    <x v="10"/>
    <x v="1"/>
  </r>
  <r>
    <s v="ORD-5511"/>
    <d v="2024-12-27T00:00:00"/>
    <s v="C2493"/>
    <s v="P1002"/>
    <n v="5"/>
    <n v="89.88"/>
    <x v="50"/>
    <n v="134.82"/>
    <x v="2"/>
    <n v="27"/>
    <x v="5"/>
    <x v="1"/>
  </r>
  <r>
    <s v="ORD-5512"/>
    <d v="2025-01-23T00:00:00"/>
    <s v="C2427"/>
    <s v="P1028"/>
    <n v="7"/>
    <n v="73.89"/>
    <x v="317"/>
    <n v="155.16900000000001"/>
    <x v="3"/>
    <n v="23"/>
    <x v="3"/>
    <x v="0"/>
  </r>
  <r>
    <s v="ORD-5513"/>
    <d v="2025-07-07T00:00:00"/>
    <s v="C2491"/>
    <s v="P1029"/>
    <n v="2"/>
    <n v="162.21"/>
    <x v="212"/>
    <n v="97.326000000000008"/>
    <x v="0"/>
    <n v="7"/>
    <x v="8"/>
    <x v="0"/>
  </r>
  <r>
    <s v="ORD-5514"/>
    <d v="2025-09-03T00:00:00"/>
    <s v="C2242"/>
    <s v="P1023"/>
    <n v="10"/>
    <n v="157.13"/>
    <x v="318"/>
    <n v="471.39"/>
    <x v="0"/>
    <n v="3"/>
    <x v="11"/>
    <x v="0"/>
  </r>
  <r>
    <s v="ORD-5515"/>
    <d v="2025-07-18T00:00:00"/>
    <s v="C2389"/>
    <s v="P1003"/>
    <n v="4"/>
    <n v="29.47"/>
    <x v="259"/>
    <n v="35.363999999999997"/>
    <x v="2"/>
    <n v="18"/>
    <x v="8"/>
    <x v="0"/>
  </r>
  <r>
    <s v="ORD-5516"/>
    <d v="2024-10-11T00:00:00"/>
    <s v="C2101"/>
    <s v="P1041"/>
    <n v="10"/>
    <n v="28.49"/>
    <x v="284"/>
    <n v="85.469999999999985"/>
    <x v="2"/>
    <n v="11"/>
    <x v="0"/>
    <x v="1"/>
  </r>
  <r>
    <s v="ORD-5517"/>
    <d v="2024-06-07T00:00:00"/>
    <s v="C2028"/>
    <s v="P1049"/>
    <n v="1"/>
    <n v="29.94"/>
    <x v="19"/>
    <n v="8.9819999999999993"/>
    <x v="0"/>
    <n v="7"/>
    <x v="7"/>
    <x v="1"/>
  </r>
  <r>
    <s v="ORD-5518"/>
    <d v="2024-01-19T00:00:00"/>
    <s v="C2354"/>
    <s v="P1005"/>
    <n v="3"/>
    <n v="74.61"/>
    <x v="225"/>
    <n v="67.149000000000001"/>
    <x v="3"/>
    <n v="19"/>
    <x v="3"/>
    <x v="1"/>
  </r>
  <r>
    <s v="ORD-5519"/>
    <d v="2025-11-17T00:00:00"/>
    <s v="C2493"/>
    <s v="P1016"/>
    <n v="4"/>
    <n v="34.369999999999997"/>
    <x v="319"/>
    <n v="41.243999999999993"/>
    <x v="0"/>
    <n v="17"/>
    <x v="10"/>
    <x v="0"/>
  </r>
  <r>
    <s v="ORD-5520"/>
    <d v="2024-01-27T00:00:00"/>
    <s v="C2098"/>
    <s v="P1045"/>
    <n v="10"/>
    <n v="115.1"/>
    <x v="264"/>
    <n v="345.3"/>
    <x v="3"/>
    <n v="27"/>
    <x v="3"/>
    <x v="1"/>
  </r>
  <r>
    <s v="ORD-5521"/>
    <d v="2024-08-27T00:00:00"/>
    <s v="C2213"/>
    <s v="P1008"/>
    <n v="9"/>
    <n v="68.41"/>
    <x v="320"/>
    <n v="184.70700000000002"/>
    <x v="0"/>
    <n v="27"/>
    <x v="9"/>
    <x v="1"/>
  </r>
  <r>
    <s v="ORD-5522"/>
    <d v="2024-01-31T00:00:00"/>
    <s v="C2242"/>
    <s v="P1002"/>
    <n v="5"/>
    <n v="89.88"/>
    <x v="50"/>
    <n v="134.82"/>
    <x v="3"/>
    <n v="31"/>
    <x v="3"/>
    <x v="1"/>
  </r>
  <r>
    <s v="ORD-5523"/>
    <d v="2024-08-26T00:00:00"/>
    <s v="C2270"/>
    <s v="P1015"/>
    <n v="1"/>
    <n v="52.45"/>
    <x v="244"/>
    <n v="15.734999999999999"/>
    <x v="2"/>
    <n v="26"/>
    <x v="9"/>
    <x v="1"/>
  </r>
  <r>
    <s v="ORD-5524"/>
    <d v="2024-11-04T00:00:00"/>
    <s v="C2034"/>
    <s v="P1006"/>
    <n v="9"/>
    <n v="17.64"/>
    <x v="321"/>
    <n v="47.627999999999993"/>
    <x v="2"/>
    <n v="4"/>
    <x v="10"/>
    <x v="1"/>
  </r>
  <r>
    <s v="ORD-5525"/>
    <d v="2025-06-03T00:00:00"/>
    <s v="C2500"/>
    <s v="P1018"/>
    <n v="2"/>
    <n v="38.93"/>
    <x v="322"/>
    <n v="23.358000000000001"/>
    <x v="1"/>
    <n v="3"/>
    <x v="7"/>
    <x v="0"/>
  </r>
  <r>
    <s v="ORD-5526"/>
    <d v="2025-10-23T00:00:00"/>
    <s v="C2365"/>
    <s v="P1029"/>
    <n v="6"/>
    <n v="162.21"/>
    <x v="115"/>
    <n v="291.97800000000001"/>
    <x v="2"/>
    <n v="23"/>
    <x v="0"/>
    <x v="0"/>
  </r>
  <r>
    <s v="ORD-5527"/>
    <d v="2024-02-06T00:00:00"/>
    <s v="C2315"/>
    <s v="P1028"/>
    <n v="7"/>
    <n v="73.89"/>
    <x v="317"/>
    <n v="155.16900000000001"/>
    <x v="0"/>
    <n v="6"/>
    <x v="4"/>
    <x v="1"/>
  </r>
  <r>
    <s v="ORD-5528"/>
    <d v="2025-04-04T00:00:00"/>
    <s v="C2094"/>
    <s v="P1013"/>
    <n v="1"/>
    <n v="91.3"/>
    <x v="323"/>
    <n v="27.389999999999997"/>
    <x v="3"/>
    <n v="4"/>
    <x v="6"/>
    <x v="0"/>
  </r>
  <r>
    <s v="ORD-5529"/>
    <d v="2025-07-21T00:00:00"/>
    <s v="C2099"/>
    <s v="P1015"/>
    <n v="3"/>
    <n v="52.45"/>
    <x v="313"/>
    <n v="47.204999999999998"/>
    <x v="3"/>
    <n v="21"/>
    <x v="8"/>
    <x v="0"/>
  </r>
  <r>
    <s v="ORD-5530"/>
    <d v="2024-03-24T00:00:00"/>
    <s v="C2425"/>
    <s v="P1041"/>
    <n v="4"/>
    <n v="28.49"/>
    <x v="324"/>
    <n v="34.187999999999995"/>
    <x v="0"/>
    <n v="24"/>
    <x v="1"/>
    <x v="1"/>
  </r>
  <r>
    <s v="ORD-5531"/>
    <d v="2025-05-16T00:00:00"/>
    <s v="C2253"/>
    <s v="P1022"/>
    <n v="7"/>
    <n v="195.89"/>
    <x v="325"/>
    <n v="411.36899999999997"/>
    <x v="1"/>
    <n v="16"/>
    <x v="2"/>
    <x v="0"/>
  </r>
  <r>
    <s v="ORD-5532"/>
    <d v="2024-01-07T00:00:00"/>
    <s v="C2243"/>
    <s v="P1015"/>
    <n v="10"/>
    <n v="52.45"/>
    <x v="285"/>
    <n v="157.35"/>
    <x v="3"/>
    <n v="7"/>
    <x v="3"/>
    <x v="1"/>
  </r>
  <r>
    <s v="ORD-5533"/>
    <d v="2024-04-05T00:00:00"/>
    <s v="C2452"/>
    <s v="P1038"/>
    <n v="10"/>
    <n v="86.37"/>
    <x v="326"/>
    <n v="259.11"/>
    <x v="3"/>
    <n v="5"/>
    <x v="6"/>
    <x v="1"/>
  </r>
  <r>
    <s v="ORD-5534"/>
    <d v="2025-01-27T00:00:00"/>
    <s v="C2133"/>
    <s v="P1045"/>
    <n v="9"/>
    <n v="115.1"/>
    <x v="161"/>
    <n v="310.77000000000004"/>
    <x v="3"/>
    <n v="27"/>
    <x v="3"/>
    <x v="0"/>
  </r>
  <r>
    <s v="ORD-5535"/>
    <d v="2024-08-01T00:00:00"/>
    <s v="C2491"/>
    <s v="P1002"/>
    <n v="3"/>
    <n v="89.88"/>
    <x v="327"/>
    <n v="80.891999999999996"/>
    <x v="0"/>
    <n v="1"/>
    <x v="9"/>
    <x v="1"/>
  </r>
  <r>
    <s v="ORD-5536"/>
    <d v="2024-07-08T00:00:00"/>
    <s v="C2038"/>
    <s v="P1026"/>
    <n v="4"/>
    <n v="64.62"/>
    <x v="328"/>
    <n v="77.543999999999997"/>
    <x v="3"/>
    <n v="8"/>
    <x v="8"/>
    <x v="1"/>
  </r>
  <r>
    <s v="ORD-5537"/>
    <d v="2025-02-06T00:00:00"/>
    <s v="C2400"/>
    <s v="P1037"/>
    <n v="7"/>
    <n v="49.95"/>
    <x v="22"/>
    <n v="104.895"/>
    <x v="0"/>
    <n v="6"/>
    <x v="4"/>
    <x v="0"/>
  </r>
  <r>
    <s v="ORD-5538"/>
    <d v="2024-10-09T00:00:00"/>
    <s v="C2447"/>
    <s v="P1001"/>
    <n v="9"/>
    <n v="108.19"/>
    <x v="106"/>
    <n v="292.113"/>
    <x v="0"/>
    <n v="9"/>
    <x v="0"/>
    <x v="1"/>
  </r>
  <r>
    <s v="ORD-5539"/>
    <d v="2025-11-25T00:00:00"/>
    <s v="C2305"/>
    <s v="P1047"/>
    <n v="8"/>
    <n v="118.95"/>
    <x v="221"/>
    <n v="285.48"/>
    <x v="3"/>
    <n v="25"/>
    <x v="10"/>
    <x v="0"/>
  </r>
  <r>
    <s v="ORD-5540"/>
    <d v="2024-10-23T00:00:00"/>
    <s v="C2343"/>
    <s v="P1026"/>
    <n v="6"/>
    <n v="64.62"/>
    <x v="329"/>
    <n v="116.316"/>
    <x v="0"/>
    <n v="23"/>
    <x v="0"/>
    <x v="1"/>
  </r>
  <r>
    <s v="ORD-5541"/>
    <d v="2025-03-25T00:00:00"/>
    <s v="C2416"/>
    <s v="P1044"/>
    <n v="5"/>
    <n v="104.84"/>
    <x v="138"/>
    <n v="157.26000000000002"/>
    <x v="2"/>
    <n v="25"/>
    <x v="1"/>
    <x v="0"/>
  </r>
  <r>
    <s v="ORD-5542"/>
    <d v="2025-05-27T00:00:00"/>
    <s v="C2477"/>
    <s v="P1043"/>
    <n v="2"/>
    <n v="17.22"/>
    <x v="258"/>
    <n v="10.331999999999999"/>
    <x v="2"/>
    <n v="27"/>
    <x v="2"/>
    <x v="0"/>
  </r>
  <r>
    <s v="ORD-5543"/>
    <d v="2025-05-12T00:00:00"/>
    <s v="C2037"/>
    <s v="P1013"/>
    <n v="2"/>
    <n v="91.3"/>
    <x v="35"/>
    <n v="54.779999999999994"/>
    <x v="2"/>
    <n v="12"/>
    <x v="2"/>
    <x v="0"/>
  </r>
  <r>
    <s v="ORD-5544"/>
    <d v="2025-09-18T00:00:00"/>
    <s v="C2173"/>
    <s v="P1002"/>
    <n v="4"/>
    <n v="89.88"/>
    <x v="183"/>
    <n v="107.85599999999999"/>
    <x v="1"/>
    <n v="18"/>
    <x v="11"/>
    <x v="0"/>
  </r>
  <r>
    <s v="ORD-5545"/>
    <d v="2024-06-03T00:00:00"/>
    <s v="C2182"/>
    <s v="P1033"/>
    <n v="9"/>
    <n v="18.850000000000001"/>
    <x v="330"/>
    <n v="50.895000000000003"/>
    <x v="2"/>
    <n v="3"/>
    <x v="7"/>
    <x v="1"/>
  </r>
  <r>
    <s v="ORD-5546"/>
    <d v="2024-05-01T00:00:00"/>
    <s v="C2052"/>
    <s v="P1024"/>
    <n v="5"/>
    <n v="180.47"/>
    <x v="65"/>
    <n v="270.70499999999998"/>
    <x v="0"/>
    <n v="1"/>
    <x v="2"/>
    <x v="1"/>
  </r>
  <r>
    <s v="ORD-5547"/>
    <d v="2025-08-03T00:00:00"/>
    <s v="C2360"/>
    <s v="P1028"/>
    <n v="7"/>
    <n v="73.89"/>
    <x v="317"/>
    <n v="155.16900000000001"/>
    <x v="3"/>
    <n v="3"/>
    <x v="9"/>
    <x v="0"/>
  </r>
  <r>
    <s v="ORD-5548"/>
    <d v="2025-08-06T00:00:00"/>
    <s v="C2339"/>
    <s v="P1002"/>
    <n v="3"/>
    <n v="89.88"/>
    <x v="327"/>
    <n v="80.891999999999996"/>
    <x v="1"/>
    <n v="6"/>
    <x v="9"/>
    <x v="0"/>
  </r>
  <r>
    <s v="ORD-5549"/>
    <d v="2025-10-15T00:00:00"/>
    <s v="C2042"/>
    <s v="P1026"/>
    <n v="2"/>
    <n v="64.62"/>
    <x v="331"/>
    <n v="38.771999999999998"/>
    <x v="3"/>
    <n v="15"/>
    <x v="0"/>
    <x v="0"/>
  </r>
  <r>
    <s v="ORD-5550"/>
    <d v="2025-10-09T00:00:00"/>
    <s v="C2064"/>
    <s v="P1018"/>
    <n v="7"/>
    <n v="38.93"/>
    <x v="163"/>
    <n v="81.753"/>
    <x v="2"/>
    <n v="9"/>
    <x v="0"/>
    <x v="0"/>
  </r>
  <r>
    <s v="ORD-5551"/>
    <d v="2025-08-20T00:00:00"/>
    <s v="C2279"/>
    <s v="P1002"/>
    <n v="4"/>
    <n v="89.88"/>
    <x v="183"/>
    <n v="107.85599999999999"/>
    <x v="0"/>
    <n v="20"/>
    <x v="9"/>
    <x v="0"/>
  </r>
  <r>
    <s v="ORD-5552"/>
    <d v="2024-12-11T00:00:00"/>
    <s v="C2359"/>
    <s v="P1033"/>
    <n v="5"/>
    <n v="18.850000000000001"/>
    <x v="18"/>
    <n v="28.274999999999999"/>
    <x v="3"/>
    <n v="11"/>
    <x v="5"/>
    <x v="1"/>
  </r>
  <r>
    <s v="ORD-5553"/>
    <d v="2025-07-21T00:00:00"/>
    <s v="C2234"/>
    <s v="P1009"/>
    <n v="10"/>
    <n v="134.61000000000001"/>
    <x v="332"/>
    <n v="403.83"/>
    <x v="3"/>
    <n v="21"/>
    <x v="8"/>
    <x v="0"/>
  </r>
  <r>
    <s v="ORD-5554"/>
    <d v="2025-04-17T00:00:00"/>
    <s v="C2460"/>
    <s v="P1022"/>
    <n v="6"/>
    <n v="195.89"/>
    <x v="333"/>
    <n v="352.60199999999998"/>
    <x v="2"/>
    <n v="17"/>
    <x v="6"/>
    <x v="0"/>
  </r>
  <r>
    <s v="ORD-5555"/>
    <d v="2025-06-01T00:00:00"/>
    <s v="C2255"/>
    <s v="P1041"/>
    <n v="6"/>
    <n v="28.49"/>
    <x v="334"/>
    <n v="51.281999999999996"/>
    <x v="1"/>
    <n v="1"/>
    <x v="7"/>
    <x v="0"/>
  </r>
  <r>
    <s v="ORD-5556"/>
    <d v="2025-03-02T00:00:00"/>
    <s v="C2137"/>
    <s v="P1015"/>
    <n v="5"/>
    <n v="52.45"/>
    <x v="82"/>
    <n v="78.674999999999997"/>
    <x v="0"/>
    <n v="2"/>
    <x v="1"/>
    <x v="0"/>
  </r>
  <r>
    <s v="ORD-5557"/>
    <d v="2024-09-16T00:00:00"/>
    <s v="C2478"/>
    <s v="P1039"/>
    <n v="7"/>
    <n v="103.45"/>
    <x v="109"/>
    <n v="217.24499999999998"/>
    <x v="1"/>
    <n v="16"/>
    <x v="11"/>
    <x v="1"/>
  </r>
  <r>
    <s v="ORD-5558"/>
    <d v="2025-10-16T00:00:00"/>
    <s v="C2330"/>
    <s v="P1006"/>
    <n v="10"/>
    <n v="17.64"/>
    <x v="335"/>
    <n v="52.92"/>
    <x v="2"/>
    <n v="16"/>
    <x v="0"/>
    <x v="0"/>
  </r>
  <r>
    <s v="ORD-5559"/>
    <d v="2024-04-29T00:00:00"/>
    <s v="C2254"/>
    <s v="P1026"/>
    <n v="2"/>
    <n v="64.62"/>
    <x v="331"/>
    <n v="38.771999999999998"/>
    <x v="1"/>
    <n v="29"/>
    <x v="6"/>
    <x v="1"/>
  </r>
  <r>
    <s v="ORD-5560"/>
    <d v="2025-05-14T00:00:00"/>
    <s v="C2201"/>
    <s v="P1005"/>
    <n v="6"/>
    <n v="74.61"/>
    <x v="336"/>
    <n v="134.298"/>
    <x v="3"/>
    <n v="14"/>
    <x v="2"/>
    <x v="0"/>
  </r>
  <r>
    <s v="ORD-5561"/>
    <d v="2024-11-30T00:00:00"/>
    <s v="C2387"/>
    <s v="P1007"/>
    <n v="4"/>
    <n v="162.96"/>
    <x v="337"/>
    <n v="195.55199999999999"/>
    <x v="0"/>
    <n v="30"/>
    <x v="10"/>
    <x v="1"/>
  </r>
  <r>
    <s v="ORD-5562"/>
    <d v="2024-11-18T00:00:00"/>
    <s v="C2111"/>
    <s v="P1018"/>
    <n v="9"/>
    <n v="38.93"/>
    <x v="144"/>
    <n v="105.111"/>
    <x v="1"/>
    <n v="18"/>
    <x v="10"/>
    <x v="1"/>
  </r>
  <r>
    <s v="ORD-5563"/>
    <d v="2025-10-02T00:00:00"/>
    <s v="C2109"/>
    <s v="P1022"/>
    <n v="5"/>
    <n v="195.89"/>
    <x v="338"/>
    <n v="293.83499999999998"/>
    <x v="1"/>
    <n v="2"/>
    <x v="0"/>
    <x v="0"/>
  </r>
  <r>
    <s v="ORD-5564"/>
    <d v="2025-05-13T00:00:00"/>
    <s v="C2358"/>
    <s v="P1014"/>
    <n v="2"/>
    <n v="193.35"/>
    <x v="217"/>
    <n v="116.00999999999999"/>
    <x v="0"/>
    <n v="13"/>
    <x v="2"/>
    <x v="0"/>
  </r>
  <r>
    <s v="ORD-5565"/>
    <d v="2025-11-04T00:00:00"/>
    <s v="C2140"/>
    <s v="P1022"/>
    <n v="2"/>
    <n v="195.89"/>
    <x v="339"/>
    <n v="117.53399999999999"/>
    <x v="1"/>
    <n v="4"/>
    <x v="10"/>
    <x v="0"/>
  </r>
  <r>
    <s v="ORD-5566"/>
    <d v="2024-12-28T00:00:00"/>
    <s v="C2073"/>
    <s v="P1027"/>
    <n v="9"/>
    <n v="134.32"/>
    <x v="105"/>
    <n v="362.66400000000004"/>
    <x v="3"/>
    <n v="28"/>
    <x v="5"/>
    <x v="1"/>
  </r>
  <r>
    <s v="ORD-5567"/>
    <d v="2024-02-17T00:00:00"/>
    <s v="C2293"/>
    <s v="P1047"/>
    <n v="9"/>
    <n v="118.95"/>
    <x v="179"/>
    <n v="321.16499999999996"/>
    <x v="2"/>
    <n v="17"/>
    <x v="4"/>
    <x v="1"/>
  </r>
  <r>
    <s v="ORD-5568"/>
    <d v="2024-01-26T00:00:00"/>
    <s v="C2302"/>
    <s v="P1024"/>
    <n v="3"/>
    <n v="180.47"/>
    <x v="102"/>
    <n v="162.42299999999997"/>
    <x v="1"/>
    <n v="26"/>
    <x v="3"/>
    <x v="1"/>
  </r>
  <r>
    <s v="ORD-5569"/>
    <d v="2024-09-12T00:00:00"/>
    <s v="C2225"/>
    <s v="P1032"/>
    <n v="8"/>
    <n v="52.52"/>
    <x v="233"/>
    <n v="126.048"/>
    <x v="0"/>
    <n v="12"/>
    <x v="11"/>
    <x v="1"/>
  </r>
  <r>
    <s v="ORD-5570"/>
    <d v="2024-01-17T00:00:00"/>
    <s v="C2394"/>
    <s v="P1030"/>
    <n v="7"/>
    <n v="12.47"/>
    <x v="283"/>
    <n v="26.187000000000001"/>
    <x v="3"/>
    <n v="17"/>
    <x v="3"/>
    <x v="1"/>
  </r>
  <r>
    <s v="ORD-5571"/>
    <d v="2025-07-27T00:00:00"/>
    <s v="C2290"/>
    <s v="P1002"/>
    <n v="5"/>
    <n v="89.88"/>
    <x v="50"/>
    <n v="134.82"/>
    <x v="3"/>
    <n v="27"/>
    <x v="8"/>
    <x v="0"/>
  </r>
  <r>
    <s v="ORD-5572"/>
    <d v="2024-06-09T00:00:00"/>
    <s v="C2300"/>
    <s v="P1012"/>
    <n v="10"/>
    <n v="112.61"/>
    <x v="175"/>
    <n v="337.83"/>
    <x v="3"/>
    <n v="9"/>
    <x v="7"/>
    <x v="1"/>
  </r>
  <r>
    <s v="ORD-5573"/>
    <d v="2024-07-10T00:00:00"/>
    <s v="C2053"/>
    <s v="P1039"/>
    <n v="1"/>
    <n v="103.45"/>
    <x v="340"/>
    <n v="31.035"/>
    <x v="1"/>
    <n v="10"/>
    <x v="8"/>
    <x v="1"/>
  </r>
  <r>
    <s v="ORD-5574"/>
    <d v="2025-01-20T00:00:00"/>
    <s v="C2214"/>
    <s v="P1031"/>
    <n v="2"/>
    <n v="107.88"/>
    <x v="16"/>
    <n v="64.727999999999994"/>
    <x v="2"/>
    <n v="20"/>
    <x v="3"/>
    <x v="0"/>
  </r>
  <r>
    <s v="ORD-5575"/>
    <d v="2025-11-22T00:00:00"/>
    <s v="C2394"/>
    <s v="P1011"/>
    <n v="5"/>
    <n v="78.92"/>
    <x v="129"/>
    <n v="118.38"/>
    <x v="0"/>
    <n v="22"/>
    <x v="10"/>
    <x v="0"/>
  </r>
  <r>
    <s v="ORD-5576"/>
    <d v="2025-12-27T00:00:00"/>
    <s v="C2414"/>
    <s v="P1008"/>
    <n v="3"/>
    <n v="68.41"/>
    <x v="60"/>
    <n v="61.568999999999996"/>
    <x v="3"/>
    <n v="27"/>
    <x v="5"/>
    <x v="0"/>
  </r>
  <r>
    <s v="ORD-5577"/>
    <d v="2024-08-07T00:00:00"/>
    <s v="C2405"/>
    <s v="P1026"/>
    <n v="4"/>
    <n v="64.62"/>
    <x v="328"/>
    <n v="77.543999999999997"/>
    <x v="3"/>
    <n v="7"/>
    <x v="9"/>
    <x v="1"/>
  </r>
  <r>
    <s v="ORD-5578"/>
    <d v="2024-08-29T00:00:00"/>
    <s v="C2251"/>
    <s v="P1033"/>
    <n v="4"/>
    <n v="18.850000000000001"/>
    <x v="341"/>
    <n v="22.62"/>
    <x v="2"/>
    <n v="29"/>
    <x v="9"/>
    <x v="1"/>
  </r>
  <r>
    <s v="ORD-5579"/>
    <d v="2025-10-22T00:00:00"/>
    <s v="C2132"/>
    <s v="P1001"/>
    <n v="4"/>
    <n v="108.19"/>
    <x v="213"/>
    <n v="129.828"/>
    <x v="3"/>
    <n v="22"/>
    <x v="0"/>
    <x v="0"/>
  </r>
  <r>
    <s v="ORD-5580"/>
    <d v="2024-12-03T00:00:00"/>
    <s v="C2379"/>
    <s v="P1022"/>
    <n v="8"/>
    <n v="195.89"/>
    <x v="36"/>
    <n v="470.13599999999997"/>
    <x v="2"/>
    <n v="3"/>
    <x v="5"/>
    <x v="1"/>
  </r>
  <r>
    <s v="ORD-5581"/>
    <d v="2025-01-18T00:00:00"/>
    <s v="C2022"/>
    <s v="P1010"/>
    <n v="4"/>
    <n v="56.18"/>
    <x v="227"/>
    <n v="67.415999999999997"/>
    <x v="1"/>
    <n v="18"/>
    <x v="3"/>
    <x v="0"/>
  </r>
  <r>
    <s v="ORD-5582"/>
    <d v="2024-02-29T00:00:00"/>
    <s v="C2029"/>
    <s v="P1035"/>
    <n v="8"/>
    <n v="176.31"/>
    <x v="241"/>
    <n v="423.14400000000001"/>
    <x v="2"/>
    <n v="29"/>
    <x v="4"/>
    <x v="1"/>
  </r>
  <r>
    <s v="ORD-5583"/>
    <d v="2025-10-26T00:00:00"/>
    <s v="C2226"/>
    <s v="P1049"/>
    <n v="1"/>
    <n v="29.94"/>
    <x v="19"/>
    <n v="8.9819999999999993"/>
    <x v="2"/>
    <n v="26"/>
    <x v="0"/>
    <x v="0"/>
  </r>
  <r>
    <s v="ORD-5584"/>
    <d v="2025-03-04T00:00:00"/>
    <s v="C2303"/>
    <s v="P1036"/>
    <n v="5"/>
    <n v="53.74"/>
    <x v="157"/>
    <n v="80.61"/>
    <x v="2"/>
    <n v="4"/>
    <x v="1"/>
    <x v="0"/>
  </r>
  <r>
    <s v="ORD-5585"/>
    <d v="2024-02-21T00:00:00"/>
    <s v="C2449"/>
    <s v="P1012"/>
    <n v="10"/>
    <n v="112.61"/>
    <x v="175"/>
    <n v="337.83"/>
    <x v="1"/>
    <n v="21"/>
    <x v="4"/>
    <x v="1"/>
  </r>
  <r>
    <s v="ORD-5586"/>
    <d v="2024-06-10T00:00:00"/>
    <s v="C2375"/>
    <s v="P1010"/>
    <n v="10"/>
    <n v="56.18"/>
    <x v="171"/>
    <n v="168.54"/>
    <x v="3"/>
    <n v="10"/>
    <x v="7"/>
    <x v="1"/>
  </r>
  <r>
    <s v="ORD-5587"/>
    <d v="2025-04-02T00:00:00"/>
    <s v="C2008"/>
    <s v="P1011"/>
    <n v="10"/>
    <n v="78.92"/>
    <x v="266"/>
    <n v="236.76"/>
    <x v="3"/>
    <n v="2"/>
    <x v="6"/>
    <x v="0"/>
  </r>
  <r>
    <s v="ORD-5588"/>
    <d v="2024-02-15T00:00:00"/>
    <s v="C2381"/>
    <s v="P1023"/>
    <n v="5"/>
    <n v="157.13"/>
    <x v="117"/>
    <n v="235.69499999999999"/>
    <x v="3"/>
    <n v="15"/>
    <x v="4"/>
    <x v="1"/>
  </r>
  <r>
    <s v="ORD-5589"/>
    <d v="2024-10-10T00:00:00"/>
    <s v="C2129"/>
    <s v="P1034"/>
    <n v="2"/>
    <n v="41.45"/>
    <x v="199"/>
    <n v="24.87"/>
    <x v="3"/>
    <n v="10"/>
    <x v="0"/>
    <x v="1"/>
  </r>
  <r>
    <s v="ORD-5590"/>
    <d v="2025-07-29T00:00:00"/>
    <s v="C2049"/>
    <s v="P1046"/>
    <n v="8"/>
    <n v="89.24"/>
    <x v="342"/>
    <n v="214.17599999999999"/>
    <x v="2"/>
    <n v="29"/>
    <x v="8"/>
    <x v="0"/>
  </r>
  <r>
    <s v="ORD-5591"/>
    <d v="2024-08-19T00:00:00"/>
    <s v="C2302"/>
    <s v="P1033"/>
    <n v="3"/>
    <n v="18.850000000000001"/>
    <x v="152"/>
    <n v="16.965"/>
    <x v="0"/>
    <n v="19"/>
    <x v="9"/>
    <x v="1"/>
  </r>
  <r>
    <s v="ORD-5592"/>
    <d v="2025-08-27T00:00:00"/>
    <s v="C2447"/>
    <s v="P1032"/>
    <n v="9"/>
    <n v="52.52"/>
    <x v="343"/>
    <n v="141.804"/>
    <x v="0"/>
    <n v="27"/>
    <x v="9"/>
    <x v="0"/>
  </r>
  <r>
    <s v="ORD-5593"/>
    <d v="2024-08-16T00:00:00"/>
    <s v="C2145"/>
    <s v="P1009"/>
    <n v="10"/>
    <n v="134.61000000000001"/>
    <x v="332"/>
    <n v="403.83"/>
    <x v="3"/>
    <n v="16"/>
    <x v="9"/>
    <x v="1"/>
  </r>
  <r>
    <s v="ORD-5594"/>
    <d v="2024-03-12T00:00:00"/>
    <s v="C2319"/>
    <s v="P1029"/>
    <n v="10"/>
    <n v="162.21"/>
    <x v="45"/>
    <n v="486.62999999999994"/>
    <x v="1"/>
    <n v="12"/>
    <x v="1"/>
    <x v="1"/>
  </r>
  <r>
    <s v="ORD-5595"/>
    <d v="2024-06-18T00:00:00"/>
    <s v="C2138"/>
    <s v="P1023"/>
    <n v="6"/>
    <n v="157.13"/>
    <x v="344"/>
    <n v="282.834"/>
    <x v="1"/>
    <n v="18"/>
    <x v="7"/>
    <x v="1"/>
  </r>
  <r>
    <s v="ORD-5596"/>
    <d v="2025-01-11T00:00:00"/>
    <s v="C2399"/>
    <s v="P1026"/>
    <n v="6"/>
    <n v="64.62"/>
    <x v="329"/>
    <n v="116.316"/>
    <x v="3"/>
    <n v="11"/>
    <x v="3"/>
    <x v="0"/>
  </r>
  <r>
    <s v="ORD-5597"/>
    <d v="2025-10-31T00:00:00"/>
    <s v="C2048"/>
    <s v="P1026"/>
    <n v="4"/>
    <n v="64.62"/>
    <x v="328"/>
    <n v="77.543999999999997"/>
    <x v="1"/>
    <n v="31"/>
    <x v="0"/>
    <x v="0"/>
  </r>
  <r>
    <s v="ORD-5598"/>
    <d v="2024-07-07T00:00:00"/>
    <s v="C2395"/>
    <s v="P1034"/>
    <n v="5"/>
    <n v="41.45"/>
    <x v="32"/>
    <n v="62.174999999999997"/>
    <x v="0"/>
    <n v="7"/>
    <x v="8"/>
    <x v="1"/>
  </r>
  <r>
    <s v="ORD-5599"/>
    <d v="2025-02-08T00:00:00"/>
    <s v="C2491"/>
    <s v="P1015"/>
    <n v="5"/>
    <n v="52.45"/>
    <x v="82"/>
    <n v="78.674999999999997"/>
    <x v="1"/>
    <n v="8"/>
    <x v="4"/>
    <x v="0"/>
  </r>
  <r>
    <s v="ORD-5600"/>
    <d v="2025-07-09T00:00:00"/>
    <s v="C2174"/>
    <s v="P1043"/>
    <n v="10"/>
    <n v="17.22"/>
    <x v="256"/>
    <n v="51.66"/>
    <x v="1"/>
    <n v="9"/>
    <x v="8"/>
    <x v="0"/>
  </r>
  <r>
    <s v="ORD-5601"/>
    <d v="2025-02-01T00:00:00"/>
    <s v="C2305"/>
    <s v="P1031"/>
    <n v="6"/>
    <n v="107.88"/>
    <x v="162"/>
    <n v="194.184"/>
    <x v="1"/>
    <n v="1"/>
    <x v="4"/>
    <x v="0"/>
  </r>
  <r>
    <s v="ORD-5602"/>
    <d v="2024-08-11T00:00:00"/>
    <s v="C2113"/>
    <s v="P1016"/>
    <n v="2"/>
    <n v="34.369999999999997"/>
    <x v="261"/>
    <n v="20.621999999999996"/>
    <x v="3"/>
    <n v="11"/>
    <x v="9"/>
    <x v="1"/>
  </r>
  <r>
    <s v="ORD-5603"/>
    <d v="2025-12-22T00:00:00"/>
    <s v="C2452"/>
    <s v="P1012"/>
    <n v="3"/>
    <n v="112.61"/>
    <x v="141"/>
    <n v="101.34899999999999"/>
    <x v="3"/>
    <n v="22"/>
    <x v="5"/>
    <x v="0"/>
  </r>
  <r>
    <s v="ORD-5604"/>
    <d v="2024-08-02T00:00:00"/>
    <s v="C2494"/>
    <s v="P1012"/>
    <n v="4"/>
    <n v="112.61"/>
    <x v="44"/>
    <n v="135.13200000000001"/>
    <x v="0"/>
    <n v="2"/>
    <x v="9"/>
    <x v="1"/>
  </r>
  <r>
    <s v="ORD-5605"/>
    <d v="2025-06-22T00:00:00"/>
    <s v="C2472"/>
    <s v="P1016"/>
    <n v="1"/>
    <n v="34.369999999999997"/>
    <x v="287"/>
    <n v="10.310999999999998"/>
    <x v="3"/>
    <n v="22"/>
    <x v="7"/>
    <x v="0"/>
  </r>
  <r>
    <s v="ORD-5606"/>
    <d v="2025-05-25T00:00:00"/>
    <s v="C2174"/>
    <s v="P1043"/>
    <n v="7"/>
    <n v="17.22"/>
    <x v="345"/>
    <n v="36.161999999999999"/>
    <x v="3"/>
    <n v="25"/>
    <x v="2"/>
    <x v="0"/>
  </r>
  <r>
    <s v="ORD-5607"/>
    <d v="2025-10-25T00:00:00"/>
    <s v="C2191"/>
    <s v="P1020"/>
    <n v="6"/>
    <n v="24.62"/>
    <x v="69"/>
    <n v="44.315999999999995"/>
    <x v="3"/>
    <n v="25"/>
    <x v="0"/>
    <x v="0"/>
  </r>
  <r>
    <s v="ORD-5608"/>
    <d v="2025-03-21T00:00:00"/>
    <s v="C2213"/>
    <s v="P1012"/>
    <n v="4"/>
    <n v="112.61"/>
    <x v="44"/>
    <n v="135.13200000000001"/>
    <x v="2"/>
    <n v="21"/>
    <x v="1"/>
    <x v="0"/>
  </r>
  <r>
    <s v="ORD-5609"/>
    <d v="2024-10-11T00:00:00"/>
    <s v="C2364"/>
    <s v="P1047"/>
    <n v="8"/>
    <n v="118.95"/>
    <x v="221"/>
    <n v="285.48"/>
    <x v="3"/>
    <n v="11"/>
    <x v="0"/>
    <x v="1"/>
  </r>
  <r>
    <s v="ORD-5610"/>
    <d v="2025-11-06T00:00:00"/>
    <s v="C2381"/>
    <s v="P1033"/>
    <n v="10"/>
    <n v="18.850000000000001"/>
    <x v="346"/>
    <n v="56.55"/>
    <x v="0"/>
    <n v="6"/>
    <x v="10"/>
    <x v="0"/>
  </r>
  <r>
    <s v="ORD-5611"/>
    <d v="2024-04-13T00:00:00"/>
    <s v="C2351"/>
    <s v="P1012"/>
    <n v="4"/>
    <n v="112.61"/>
    <x v="44"/>
    <n v="135.13200000000001"/>
    <x v="3"/>
    <n v="13"/>
    <x v="6"/>
    <x v="1"/>
  </r>
  <r>
    <s v="ORD-5612"/>
    <d v="2025-06-28T00:00:00"/>
    <s v="C2103"/>
    <s v="P1023"/>
    <n v="2"/>
    <n v="157.13"/>
    <x v="347"/>
    <n v="94.277999999999992"/>
    <x v="2"/>
    <n v="28"/>
    <x v="7"/>
    <x v="0"/>
  </r>
  <r>
    <s v="ORD-5613"/>
    <d v="2025-04-03T00:00:00"/>
    <s v="C2096"/>
    <s v="P1021"/>
    <n v="1"/>
    <n v="165.9"/>
    <x v="84"/>
    <n v="49.77"/>
    <x v="1"/>
    <n v="3"/>
    <x v="6"/>
    <x v="0"/>
  </r>
  <r>
    <s v="ORD-5614"/>
    <d v="2024-03-24T00:00:00"/>
    <s v="C2495"/>
    <s v="P1007"/>
    <n v="6"/>
    <n v="162.96"/>
    <x v="348"/>
    <n v="293.32799999999997"/>
    <x v="0"/>
    <n v="24"/>
    <x v="1"/>
    <x v="1"/>
  </r>
  <r>
    <s v="ORD-5615"/>
    <d v="2024-08-05T00:00:00"/>
    <s v="C2215"/>
    <s v="P1034"/>
    <n v="6"/>
    <n v="41.45"/>
    <x v="260"/>
    <n v="74.61"/>
    <x v="3"/>
    <n v="5"/>
    <x v="9"/>
    <x v="1"/>
  </r>
  <r>
    <s v="ORD-5616"/>
    <d v="2024-12-09T00:00:00"/>
    <s v="C2002"/>
    <s v="P1049"/>
    <n v="3"/>
    <n v="29.94"/>
    <x v="306"/>
    <n v="26.945999999999998"/>
    <x v="2"/>
    <n v="9"/>
    <x v="5"/>
    <x v="1"/>
  </r>
  <r>
    <s v="ORD-5617"/>
    <d v="2024-10-08T00:00:00"/>
    <s v="C2211"/>
    <s v="P1048"/>
    <n v="10"/>
    <n v="20.28"/>
    <x v="349"/>
    <n v="60.84"/>
    <x v="3"/>
    <n v="8"/>
    <x v="0"/>
    <x v="1"/>
  </r>
  <r>
    <s v="ORD-5618"/>
    <d v="2025-03-18T00:00:00"/>
    <s v="C2096"/>
    <s v="P1030"/>
    <n v="1"/>
    <n v="12.47"/>
    <x v="350"/>
    <n v="3.7410000000000001"/>
    <x v="3"/>
    <n v="18"/>
    <x v="1"/>
    <x v="0"/>
  </r>
  <r>
    <s v="ORD-5619"/>
    <d v="2025-05-10T00:00:00"/>
    <s v="C2452"/>
    <s v="P1001"/>
    <n v="2"/>
    <n v="108.19"/>
    <x v="190"/>
    <n v="64.914000000000001"/>
    <x v="2"/>
    <n v="10"/>
    <x v="2"/>
    <x v="0"/>
  </r>
  <r>
    <s v="ORD-5620"/>
    <d v="2024-08-27T00:00:00"/>
    <s v="C2401"/>
    <s v="P1033"/>
    <n v="9"/>
    <n v="18.850000000000001"/>
    <x v="330"/>
    <n v="50.895000000000003"/>
    <x v="0"/>
    <n v="27"/>
    <x v="9"/>
    <x v="1"/>
  </r>
  <r>
    <s v="ORD-5621"/>
    <d v="2025-04-27T00:00:00"/>
    <s v="C2315"/>
    <s v="P1010"/>
    <n v="4"/>
    <n v="56.18"/>
    <x v="227"/>
    <n v="67.415999999999997"/>
    <x v="3"/>
    <n v="27"/>
    <x v="6"/>
    <x v="0"/>
  </r>
  <r>
    <s v="ORD-5622"/>
    <d v="2025-05-04T00:00:00"/>
    <s v="C2306"/>
    <s v="P1036"/>
    <n v="6"/>
    <n v="53.74"/>
    <x v="351"/>
    <n v="96.731999999999999"/>
    <x v="0"/>
    <n v="4"/>
    <x v="2"/>
    <x v="0"/>
  </r>
  <r>
    <s v="ORD-5623"/>
    <d v="2025-06-29T00:00:00"/>
    <s v="C2444"/>
    <s v="P1018"/>
    <n v="8"/>
    <n v="38.93"/>
    <x v="352"/>
    <n v="93.432000000000002"/>
    <x v="3"/>
    <n v="29"/>
    <x v="7"/>
    <x v="0"/>
  </r>
  <r>
    <s v="ORD-5624"/>
    <d v="2024-08-28T00:00:00"/>
    <s v="C2174"/>
    <s v="P1039"/>
    <n v="4"/>
    <n v="103.45"/>
    <x v="353"/>
    <n v="124.14"/>
    <x v="0"/>
    <n v="28"/>
    <x v="9"/>
    <x v="1"/>
  </r>
  <r>
    <s v="ORD-5625"/>
    <d v="2024-03-11T00:00:00"/>
    <s v="C2037"/>
    <s v="P1029"/>
    <n v="1"/>
    <n v="162.21"/>
    <x v="354"/>
    <n v="48.663000000000004"/>
    <x v="2"/>
    <n v="11"/>
    <x v="1"/>
    <x v="1"/>
  </r>
  <r>
    <s v="ORD-5626"/>
    <d v="2025-04-25T00:00:00"/>
    <s v="C2424"/>
    <s v="P1037"/>
    <n v="5"/>
    <n v="49.95"/>
    <x v="355"/>
    <n v="74.924999999999997"/>
    <x v="0"/>
    <n v="25"/>
    <x v="6"/>
    <x v="0"/>
  </r>
  <r>
    <s v="ORD-5627"/>
    <d v="2025-03-24T00:00:00"/>
    <s v="C2350"/>
    <s v="P1030"/>
    <n v="5"/>
    <n v="12.47"/>
    <x v="356"/>
    <n v="18.704999999999998"/>
    <x v="2"/>
    <n v="24"/>
    <x v="1"/>
    <x v="0"/>
  </r>
  <r>
    <s v="ORD-5628"/>
    <d v="2025-09-23T00:00:00"/>
    <s v="C2026"/>
    <s v="P1021"/>
    <n v="10"/>
    <n v="165.9"/>
    <x v="357"/>
    <n v="497.7"/>
    <x v="0"/>
    <n v="23"/>
    <x v="11"/>
    <x v="0"/>
  </r>
  <r>
    <s v="ORD-5629"/>
    <d v="2025-06-18T00:00:00"/>
    <s v="C2284"/>
    <s v="P1025"/>
    <n v="5"/>
    <n v="185.22"/>
    <x v="135"/>
    <n v="277.83"/>
    <x v="2"/>
    <n v="18"/>
    <x v="7"/>
    <x v="0"/>
  </r>
  <r>
    <s v="ORD-5630"/>
    <d v="2025-07-31T00:00:00"/>
    <s v="C2490"/>
    <s v="P1006"/>
    <n v="4"/>
    <n v="17.64"/>
    <x v="168"/>
    <n v="21.167999999999999"/>
    <x v="3"/>
    <n v="31"/>
    <x v="8"/>
    <x v="0"/>
  </r>
  <r>
    <s v="ORD-5631"/>
    <d v="2024-03-18T00:00:00"/>
    <s v="C2194"/>
    <s v="P1013"/>
    <n v="9"/>
    <n v="91.3"/>
    <x v="358"/>
    <n v="246.51"/>
    <x v="1"/>
    <n v="18"/>
    <x v="1"/>
    <x v="1"/>
  </r>
  <r>
    <s v="ORD-5632"/>
    <d v="2024-02-06T00:00:00"/>
    <s v="C2461"/>
    <s v="P1013"/>
    <n v="5"/>
    <n v="91.3"/>
    <x v="359"/>
    <n v="136.94999999999999"/>
    <x v="3"/>
    <n v="6"/>
    <x v="4"/>
    <x v="1"/>
  </r>
  <r>
    <s v="ORD-5633"/>
    <d v="2024-02-25T00:00:00"/>
    <s v="C2031"/>
    <s v="P1003"/>
    <n v="6"/>
    <n v="29.47"/>
    <x v="360"/>
    <n v="53.045999999999999"/>
    <x v="3"/>
    <n v="25"/>
    <x v="4"/>
    <x v="1"/>
  </r>
  <r>
    <s v="ORD-5634"/>
    <d v="2025-09-20T00:00:00"/>
    <s v="C2143"/>
    <s v="P1016"/>
    <n v="3"/>
    <n v="34.369999999999997"/>
    <x v="249"/>
    <n v="30.933"/>
    <x v="0"/>
    <n v="20"/>
    <x v="11"/>
    <x v="0"/>
  </r>
  <r>
    <s v="ORD-5635"/>
    <d v="2024-09-08T00:00:00"/>
    <s v="C2265"/>
    <s v="P1011"/>
    <n v="4"/>
    <n v="78.92"/>
    <x v="272"/>
    <n v="94.703999999999994"/>
    <x v="0"/>
    <n v="8"/>
    <x v="11"/>
    <x v="1"/>
  </r>
  <r>
    <s v="ORD-5636"/>
    <d v="2024-09-26T00:00:00"/>
    <s v="C2354"/>
    <s v="P1025"/>
    <n v="8"/>
    <n v="185.22"/>
    <x v="149"/>
    <n v="444.52799999999996"/>
    <x v="3"/>
    <n v="26"/>
    <x v="11"/>
    <x v="1"/>
  </r>
  <r>
    <s v="ORD-5637"/>
    <d v="2025-06-27T00:00:00"/>
    <s v="C2488"/>
    <s v="P1008"/>
    <n v="9"/>
    <n v="68.41"/>
    <x v="320"/>
    <n v="184.70700000000002"/>
    <x v="0"/>
    <n v="27"/>
    <x v="7"/>
    <x v="0"/>
  </r>
  <r>
    <s v="ORD-5638"/>
    <d v="2025-10-30T00:00:00"/>
    <s v="C2084"/>
    <s v="P1041"/>
    <n v="5"/>
    <n v="28.49"/>
    <x v="229"/>
    <n v="42.734999999999992"/>
    <x v="2"/>
    <n v="30"/>
    <x v="0"/>
    <x v="0"/>
  </r>
  <r>
    <s v="ORD-5639"/>
    <d v="2025-05-04T00:00:00"/>
    <s v="C2500"/>
    <s v="P1020"/>
    <n v="9"/>
    <n v="24.62"/>
    <x v="154"/>
    <n v="66.474000000000004"/>
    <x v="2"/>
    <n v="4"/>
    <x v="2"/>
    <x v="0"/>
  </r>
  <r>
    <s v="ORD-5640"/>
    <d v="2025-05-14T00:00:00"/>
    <s v="C2444"/>
    <s v="P1026"/>
    <n v="4"/>
    <n v="64.62"/>
    <x v="328"/>
    <n v="77.543999999999997"/>
    <x v="0"/>
    <n v="14"/>
    <x v="2"/>
    <x v="0"/>
  </r>
  <r>
    <s v="ORD-5641"/>
    <d v="2024-09-08T00:00:00"/>
    <s v="C2376"/>
    <s v="P1038"/>
    <n v="9"/>
    <n v="86.37"/>
    <x v="315"/>
    <n v="233.19900000000001"/>
    <x v="2"/>
    <n v="8"/>
    <x v="11"/>
    <x v="1"/>
  </r>
  <r>
    <s v="ORD-5642"/>
    <d v="2025-12-13T00:00:00"/>
    <s v="C2168"/>
    <s v="P1050"/>
    <n v="5"/>
    <n v="48.76"/>
    <x v="46"/>
    <n v="73.14"/>
    <x v="0"/>
    <n v="13"/>
    <x v="5"/>
    <x v="0"/>
  </r>
  <r>
    <s v="ORD-5643"/>
    <d v="2024-06-12T00:00:00"/>
    <s v="C2493"/>
    <s v="P1024"/>
    <n v="4"/>
    <n v="180.47"/>
    <x v="48"/>
    <n v="216.56399999999999"/>
    <x v="0"/>
    <n v="12"/>
    <x v="7"/>
    <x v="1"/>
  </r>
  <r>
    <s v="ORD-5644"/>
    <d v="2025-12-25T00:00:00"/>
    <s v="C2366"/>
    <s v="P1006"/>
    <n v="4"/>
    <n v="17.64"/>
    <x v="168"/>
    <n v="21.167999999999999"/>
    <x v="1"/>
    <n v="25"/>
    <x v="5"/>
    <x v="0"/>
  </r>
  <r>
    <s v="ORD-5645"/>
    <d v="2024-01-17T00:00:00"/>
    <s v="C2489"/>
    <s v="P1034"/>
    <n v="4"/>
    <n v="41.45"/>
    <x v="361"/>
    <n v="49.74"/>
    <x v="2"/>
    <n v="17"/>
    <x v="3"/>
    <x v="1"/>
  </r>
  <r>
    <s v="ORD-5646"/>
    <d v="2024-05-07T00:00:00"/>
    <s v="C2117"/>
    <s v="P1048"/>
    <n v="3"/>
    <n v="20.28"/>
    <x v="94"/>
    <n v="18.251999999999999"/>
    <x v="1"/>
    <n v="7"/>
    <x v="2"/>
    <x v="1"/>
  </r>
  <r>
    <s v="ORD-5647"/>
    <d v="2025-04-29T00:00:00"/>
    <s v="C2368"/>
    <s v="P1029"/>
    <n v="6"/>
    <n v="162.21"/>
    <x v="115"/>
    <n v="291.97800000000001"/>
    <x v="3"/>
    <n v="29"/>
    <x v="6"/>
    <x v="0"/>
  </r>
  <r>
    <s v="ORD-5648"/>
    <d v="2025-06-07T00:00:00"/>
    <s v="C2200"/>
    <s v="P1047"/>
    <n v="7"/>
    <n v="118.95"/>
    <x v="362"/>
    <n v="249.79499999999999"/>
    <x v="3"/>
    <n v="7"/>
    <x v="7"/>
    <x v="0"/>
  </r>
  <r>
    <s v="ORD-5649"/>
    <d v="2024-09-25T00:00:00"/>
    <s v="C2145"/>
    <s v="P1005"/>
    <n v="6"/>
    <n v="74.61"/>
    <x v="336"/>
    <n v="134.298"/>
    <x v="0"/>
    <n v="25"/>
    <x v="11"/>
    <x v="1"/>
  </r>
  <r>
    <s v="ORD-5650"/>
    <d v="2024-07-03T00:00:00"/>
    <s v="C2386"/>
    <s v="P1045"/>
    <n v="8"/>
    <n v="115.1"/>
    <x v="363"/>
    <n v="276.23999999999995"/>
    <x v="0"/>
    <n v="3"/>
    <x v="8"/>
    <x v="1"/>
  </r>
  <r>
    <s v="ORD-5651"/>
    <d v="2025-08-22T00:00:00"/>
    <s v="C2409"/>
    <s v="P1046"/>
    <n v="9"/>
    <n v="89.24"/>
    <x v="364"/>
    <n v="240.94799999999998"/>
    <x v="2"/>
    <n v="22"/>
    <x v="9"/>
    <x v="0"/>
  </r>
  <r>
    <s v="ORD-5652"/>
    <d v="2024-11-12T00:00:00"/>
    <s v="C2482"/>
    <s v="P1018"/>
    <n v="2"/>
    <n v="38.93"/>
    <x v="322"/>
    <n v="23.358000000000001"/>
    <x v="3"/>
    <n v="12"/>
    <x v="10"/>
    <x v="1"/>
  </r>
  <r>
    <s v="ORD-5653"/>
    <d v="2024-10-04T00:00:00"/>
    <s v="C2475"/>
    <s v="P1009"/>
    <n v="8"/>
    <n v="134.61000000000001"/>
    <x v="365"/>
    <n v="323.06400000000002"/>
    <x v="0"/>
    <n v="4"/>
    <x v="0"/>
    <x v="1"/>
  </r>
  <r>
    <s v="ORD-5654"/>
    <d v="2024-01-26T00:00:00"/>
    <s v="C2060"/>
    <s v="P1002"/>
    <n v="9"/>
    <n v="89.88"/>
    <x v="366"/>
    <n v="242.67599999999999"/>
    <x v="2"/>
    <n v="26"/>
    <x v="3"/>
    <x v="1"/>
  </r>
  <r>
    <s v="ORD-5655"/>
    <d v="2024-02-05T00:00:00"/>
    <s v="C2482"/>
    <s v="P1034"/>
    <n v="1"/>
    <n v="41.45"/>
    <x v="72"/>
    <n v="12.435"/>
    <x v="2"/>
    <n v="5"/>
    <x v="4"/>
    <x v="1"/>
  </r>
  <r>
    <s v="ORD-5656"/>
    <d v="2025-01-23T00:00:00"/>
    <s v="C2110"/>
    <s v="P1034"/>
    <n v="2"/>
    <n v="41.45"/>
    <x v="199"/>
    <n v="24.87"/>
    <x v="2"/>
    <n v="23"/>
    <x v="3"/>
    <x v="0"/>
  </r>
  <r>
    <s v="ORD-5657"/>
    <d v="2025-08-28T00:00:00"/>
    <s v="C2240"/>
    <s v="P1031"/>
    <n v="7"/>
    <n v="107.88"/>
    <x v="180"/>
    <n v="226.54799999999997"/>
    <x v="1"/>
    <n v="28"/>
    <x v="9"/>
    <x v="0"/>
  </r>
  <r>
    <s v="ORD-5658"/>
    <d v="2025-09-16T00:00:00"/>
    <s v="C2200"/>
    <s v="P1025"/>
    <n v="10"/>
    <n v="185.22"/>
    <x v="2"/>
    <n v="555.66"/>
    <x v="0"/>
    <n v="16"/>
    <x v="11"/>
    <x v="0"/>
  </r>
  <r>
    <s v="ORD-5659"/>
    <d v="2024-08-05T00:00:00"/>
    <s v="C2070"/>
    <s v="P1041"/>
    <n v="3"/>
    <n v="28.49"/>
    <x v="25"/>
    <n v="25.640999999999998"/>
    <x v="2"/>
    <n v="5"/>
    <x v="9"/>
    <x v="1"/>
  </r>
  <r>
    <s v="ORD-5660"/>
    <d v="2024-06-09T00:00:00"/>
    <s v="C2236"/>
    <s v="P1029"/>
    <n v="10"/>
    <n v="162.21"/>
    <x v="45"/>
    <n v="486.62999999999994"/>
    <x v="3"/>
    <n v="9"/>
    <x v="7"/>
    <x v="1"/>
  </r>
  <r>
    <s v="ORD-5661"/>
    <d v="2024-01-19T00:00:00"/>
    <s v="C2356"/>
    <s v="P1037"/>
    <n v="3"/>
    <n v="49.95"/>
    <x v="232"/>
    <n v="44.954999999999998"/>
    <x v="1"/>
    <n v="19"/>
    <x v="3"/>
    <x v="1"/>
  </r>
  <r>
    <s v="ORD-5662"/>
    <d v="2025-02-06T00:00:00"/>
    <s v="C2089"/>
    <s v="P1003"/>
    <n v="4"/>
    <n v="29.47"/>
    <x v="259"/>
    <n v="35.363999999999997"/>
    <x v="2"/>
    <n v="6"/>
    <x v="4"/>
    <x v="0"/>
  </r>
  <r>
    <s v="ORD-5663"/>
    <d v="2025-02-12T00:00:00"/>
    <s v="C2242"/>
    <s v="P1031"/>
    <n v="1"/>
    <n v="107.88"/>
    <x v="367"/>
    <n v="32.363999999999997"/>
    <x v="0"/>
    <n v="12"/>
    <x v="4"/>
    <x v="0"/>
  </r>
  <r>
    <s v="ORD-5664"/>
    <d v="2025-01-06T00:00:00"/>
    <s v="C2172"/>
    <s v="P1011"/>
    <n v="4"/>
    <n v="78.92"/>
    <x v="272"/>
    <n v="94.703999999999994"/>
    <x v="1"/>
    <n v="6"/>
    <x v="3"/>
    <x v="0"/>
  </r>
  <r>
    <s v="ORD-5665"/>
    <d v="2025-06-01T00:00:00"/>
    <s v="C2340"/>
    <s v="P1028"/>
    <n v="7"/>
    <n v="73.89"/>
    <x v="317"/>
    <n v="155.16900000000001"/>
    <x v="1"/>
    <n v="1"/>
    <x v="7"/>
    <x v="0"/>
  </r>
  <r>
    <s v="ORD-5666"/>
    <d v="2024-03-12T00:00:00"/>
    <s v="C2298"/>
    <s v="P1041"/>
    <n v="1"/>
    <n v="28.49"/>
    <x v="104"/>
    <n v="8.5469999999999988"/>
    <x v="0"/>
    <n v="12"/>
    <x v="1"/>
    <x v="1"/>
  </r>
  <r>
    <s v="ORD-5667"/>
    <d v="2024-11-12T00:00:00"/>
    <s v="C2405"/>
    <s v="P1004"/>
    <n v="10"/>
    <n v="28.55"/>
    <x v="368"/>
    <n v="85.649999999999991"/>
    <x v="1"/>
    <n v="12"/>
    <x v="10"/>
    <x v="1"/>
  </r>
  <r>
    <s v="ORD-5668"/>
    <d v="2024-09-24T00:00:00"/>
    <s v="C2130"/>
    <s v="P1002"/>
    <n v="10"/>
    <n v="89.88"/>
    <x v="274"/>
    <n v="269.64"/>
    <x v="3"/>
    <n v="24"/>
    <x v="11"/>
    <x v="1"/>
  </r>
  <r>
    <s v="ORD-5669"/>
    <d v="2024-04-24T00:00:00"/>
    <s v="C2422"/>
    <s v="P1004"/>
    <n v="8"/>
    <n v="28.55"/>
    <x v="282"/>
    <n v="68.52"/>
    <x v="0"/>
    <n v="24"/>
    <x v="6"/>
    <x v="1"/>
  </r>
  <r>
    <s v="ORD-5670"/>
    <d v="2025-09-04T00:00:00"/>
    <s v="C2168"/>
    <s v="P1029"/>
    <n v="4"/>
    <n v="162.21"/>
    <x v="303"/>
    <n v="194.65200000000002"/>
    <x v="3"/>
    <n v="4"/>
    <x v="11"/>
    <x v="0"/>
  </r>
  <r>
    <s v="ORD-5671"/>
    <d v="2025-04-16T00:00:00"/>
    <s v="C2395"/>
    <s v="P1006"/>
    <n v="4"/>
    <n v="17.64"/>
    <x v="168"/>
    <n v="21.167999999999999"/>
    <x v="3"/>
    <n v="16"/>
    <x v="6"/>
    <x v="0"/>
  </r>
  <r>
    <s v="ORD-5672"/>
    <d v="2025-09-22T00:00:00"/>
    <s v="C2263"/>
    <s v="P1038"/>
    <n v="9"/>
    <n v="86.37"/>
    <x v="315"/>
    <n v="233.19900000000001"/>
    <x v="1"/>
    <n v="22"/>
    <x v="11"/>
    <x v="0"/>
  </r>
  <r>
    <s v="ORD-5673"/>
    <d v="2024-06-19T00:00:00"/>
    <s v="C2020"/>
    <s v="P1043"/>
    <n v="2"/>
    <n v="17.22"/>
    <x v="258"/>
    <n v="10.331999999999999"/>
    <x v="2"/>
    <n v="19"/>
    <x v="7"/>
    <x v="1"/>
  </r>
  <r>
    <s v="ORD-5674"/>
    <d v="2025-12-08T00:00:00"/>
    <s v="C2495"/>
    <s v="P1007"/>
    <n v="1"/>
    <n v="162.96"/>
    <x v="369"/>
    <n v="48.887999999999998"/>
    <x v="3"/>
    <n v="8"/>
    <x v="5"/>
    <x v="0"/>
  </r>
  <r>
    <s v="ORD-5675"/>
    <d v="2025-03-18T00:00:00"/>
    <s v="C2355"/>
    <s v="P1013"/>
    <n v="3"/>
    <n v="91.3"/>
    <x v="370"/>
    <n v="82.169999999999987"/>
    <x v="0"/>
    <n v="18"/>
    <x v="1"/>
    <x v="0"/>
  </r>
  <r>
    <s v="ORD-5676"/>
    <d v="2025-07-20T00:00:00"/>
    <s v="C2453"/>
    <s v="P1011"/>
    <n v="3"/>
    <n v="78.92"/>
    <x v="289"/>
    <n v="71.027999999999992"/>
    <x v="3"/>
    <n v="20"/>
    <x v="8"/>
    <x v="0"/>
  </r>
  <r>
    <s v="ORD-5677"/>
    <d v="2024-02-18T00:00:00"/>
    <s v="C2257"/>
    <s v="P1021"/>
    <n v="2"/>
    <n v="165.9"/>
    <x v="23"/>
    <n v="99.54"/>
    <x v="1"/>
    <n v="18"/>
    <x v="4"/>
    <x v="1"/>
  </r>
  <r>
    <s v="ORD-5678"/>
    <d v="2025-02-23T00:00:00"/>
    <s v="C2460"/>
    <s v="P1045"/>
    <n v="4"/>
    <n v="115.1"/>
    <x v="371"/>
    <n v="138.11999999999998"/>
    <x v="0"/>
    <n v="23"/>
    <x v="4"/>
    <x v="0"/>
  </r>
  <r>
    <s v="ORD-5679"/>
    <d v="2024-01-05T00:00:00"/>
    <s v="C2214"/>
    <s v="P1031"/>
    <n v="7"/>
    <n v="107.88"/>
    <x v="180"/>
    <n v="226.54799999999997"/>
    <x v="0"/>
    <n v="5"/>
    <x v="3"/>
    <x v="1"/>
  </r>
  <r>
    <s v="ORD-5680"/>
    <d v="2025-06-14T00:00:00"/>
    <s v="C2213"/>
    <s v="P1007"/>
    <n v="10"/>
    <n v="162.96"/>
    <x v="231"/>
    <n v="488.87999999999994"/>
    <x v="3"/>
    <n v="14"/>
    <x v="7"/>
    <x v="0"/>
  </r>
  <r>
    <s v="ORD-5681"/>
    <d v="2025-08-22T00:00:00"/>
    <s v="C2031"/>
    <s v="P1030"/>
    <n v="3"/>
    <n v="12.47"/>
    <x v="372"/>
    <n v="11.222999999999999"/>
    <x v="2"/>
    <n v="22"/>
    <x v="9"/>
    <x v="0"/>
  </r>
  <r>
    <s v="ORD-5682"/>
    <d v="2024-04-07T00:00:00"/>
    <s v="C2438"/>
    <s v="P1007"/>
    <n v="3"/>
    <n v="162.96"/>
    <x v="182"/>
    <n v="146.66399999999999"/>
    <x v="0"/>
    <n v="7"/>
    <x v="6"/>
    <x v="1"/>
  </r>
  <r>
    <s v="ORD-5683"/>
    <d v="2025-03-02T00:00:00"/>
    <s v="C2372"/>
    <s v="P1005"/>
    <n v="1"/>
    <n v="74.61"/>
    <x v="8"/>
    <n v="22.382999999999999"/>
    <x v="0"/>
    <n v="2"/>
    <x v="1"/>
    <x v="0"/>
  </r>
  <r>
    <s v="ORD-5684"/>
    <d v="2024-01-22T00:00:00"/>
    <s v="C2380"/>
    <s v="P1004"/>
    <n v="7"/>
    <n v="28.55"/>
    <x v="43"/>
    <n v="59.954999999999998"/>
    <x v="2"/>
    <n v="22"/>
    <x v="3"/>
    <x v="1"/>
  </r>
  <r>
    <s v="ORD-5685"/>
    <d v="2024-11-12T00:00:00"/>
    <s v="C2218"/>
    <s v="P1001"/>
    <n v="6"/>
    <n v="108.19"/>
    <x v="79"/>
    <n v="194.74199999999999"/>
    <x v="1"/>
    <n v="12"/>
    <x v="10"/>
    <x v="1"/>
  </r>
  <r>
    <s v="ORD-5686"/>
    <d v="2024-01-21T00:00:00"/>
    <s v="C2086"/>
    <s v="P1030"/>
    <n v="4"/>
    <n v="12.47"/>
    <x v="279"/>
    <n v="14.964"/>
    <x v="1"/>
    <n v="21"/>
    <x v="3"/>
    <x v="1"/>
  </r>
  <r>
    <s v="ORD-5687"/>
    <d v="2024-10-08T00:00:00"/>
    <s v="C2448"/>
    <s v="P1014"/>
    <n v="6"/>
    <n v="193.35"/>
    <x v="373"/>
    <n v="348.03"/>
    <x v="0"/>
    <n v="8"/>
    <x v="0"/>
    <x v="1"/>
  </r>
  <r>
    <s v="ORD-5688"/>
    <d v="2025-10-04T00:00:00"/>
    <s v="C2409"/>
    <s v="P1028"/>
    <n v="10"/>
    <n v="73.89"/>
    <x v="310"/>
    <n v="221.67"/>
    <x v="1"/>
    <n v="4"/>
    <x v="0"/>
    <x v="0"/>
  </r>
  <r>
    <s v="ORD-5689"/>
    <d v="2025-07-03T00:00:00"/>
    <s v="C2134"/>
    <s v="P1004"/>
    <n v="1"/>
    <n v="28.55"/>
    <x v="374"/>
    <n v="8.5649999999999995"/>
    <x v="0"/>
    <n v="3"/>
    <x v="8"/>
    <x v="0"/>
  </r>
  <r>
    <s v="ORD-5690"/>
    <d v="2024-08-22T00:00:00"/>
    <s v="C2350"/>
    <s v="P1026"/>
    <n v="8"/>
    <n v="64.62"/>
    <x v="375"/>
    <n v="155.08799999999999"/>
    <x v="0"/>
    <n v="22"/>
    <x v="9"/>
    <x v="1"/>
  </r>
  <r>
    <s v="ORD-5691"/>
    <d v="2024-04-16T00:00:00"/>
    <s v="C2256"/>
    <s v="P1034"/>
    <n v="4"/>
    <n v="41.45"/>
    <x v="361"/>
    <n v="49.74"/>
    <x v="2"/>
    <n v="16"/>
    <x v="6"/>
    <x v="1"/>
  </r>
  <r>
    <s v="ORD-5692"/>
    <d v="2024-07-27T00:00:00"/>
    <s v="C2399"/>
    <s v="P1025"/>
    <n v="7"/>
    <n v="185.22"/>
    <x v="83"/>
    <n v="388.96199999999999"/>
    <x v="3"/>
    <n v="27"/>
    <x v="8"/>
    <x v="1"/>
  </r>
  <r>
    <s v="ORD-5693"/>
    <d v="2025-04-09T00:00:00"/>
    <s v="C2400"/>
    <s v="P1035"/>
    <n v="1"/>
    <n v="176.31"/>
    <x v="95"/>
    <n v="52.893000000000001"/>
    <x v="0"/>
    <n v="9"/>
    <x v="6"/>
    <x v="0"/>
  </r>
  <r>
    <s v="ORD-5694"/>
    <d v="2024-01-27T00:00:00"/>
    <s v="C2012"/>
    <s v="P1048"/>
    <n v="2"/>
    <n v="20.28"/>
    <x v="235"/>
    <n v="12.168000000000001"/>
    <x v="1"/>
    <n v="27"/>
    <x v="3"/>
    <x v="1"/>
  </r>
  <r>
    <s v="ORD-5695"/>
    <d v="2024-01-06T00:00:00"/>
    <s v="C2130"/>
    <s v="P1036"/>
    <n v="10"/>
    <n v="53.74"/>
    <x v="263"/>
    <n v="161.22"/>
    <x v="1"/>
    <n v="6"/>
    <x v="3"/>
    <x v="1"/>
  </r>
  <r>
    <s v="ORD-5696"/>
    <d v="2024-06-30T00:00:00"/>
    <s v="C2123"/>
    <s v="P1015"/>
    <n v="10"/>
    <n v="52.45"/>
    <x v="285"/>
    <n v="157.35"/>
    <x v="3"/>
    <n v="30"/>
    <x v="7"/>
    <x v="1"/>
  </r>
  <r>
    <s v="ORD-5697"/>
    <d v="2025-04-05T00:00:00"/>
    <s v="C2406"/>
    <s v="P1003"/>
    <n v="8"/>
    <n v="29.47"/>
    <x v="197"/>
    <n v="70.727999999999994"/>
    <x v="2"/>
    <n v="5"/>
    <x v="6"/>
    <x v="0"/>
  </r>
  <r>
    <s v="ORD-5698"/>
    <d v="2025-01-15T00:00:00"/>
    <s v="C2466"/>
    <s v="P1032"/>
    <n v="9"/>
    <n v="52.52"/>
    <x v="343"/>
    <n v="141.804"/>
    <x v="2"/>
    <n v="15"/>
    <x v="3"/>
    <x v="0"/>
  </r>
  <r>
    <s v="ORD-5699"/>
    <d v="2024-06-15T00:00:00"/>
    <s v="C2452"/>
    <s v="P1031"/>
    <n v="2"/>
    <n v="107.88"/>
    <x v="16"/>
    <n v="64.727999999999994"/>
    <x v="3"/>
    <n v="15"/>
    <x v="7"/>
    <x v="1"/>
  </r>
  <r>
    <s v="ORD-5700"/>
    <d v="2024-03-24T00:00:00"/>
    <s v="C2109"/>
    <s v="P1004"/>
    <n v="7"/>
    <n v="28.55"/>
    <x v="43"/>
    <n v="59.954999999999998"/>
    <x v="2"/>
    <n v="24"/>
    <x v="1"/>
    <x v="1"/>
  </r>
  <r>
    <s v="ORD-5701"/>
    <d v="2025-01-11T00:00:00"/>
    <s v="C2205"/>
    <s v="P1038"/>
    <n v="5"/>
    <n v="86.37"/>
    <x v="376"/>
    <n v="129.55500000000001"/>
    <x v="0"/>
    <n v="11"/>
    <x v="3"/>
    <x v="0"/>
  </r>
  <r>
    <s v="ORD-5702"/>
    <d v="2024-04-15T00:00:00"/>
    <s v="C2161"/>
    <s v="P1025"/>
    <n v="10"/>
    <n v="185.22"/>
    <x v="2"/>
    <n v="555.66"/>
    <x v="2"/>
    <n v="15"/>
    <x v="6"/>
    <x v="1"/>
  </r>
  <r>
    <s v="ORD-5703"/>
    <d v="2025-08-09T00:00:00"/>
    <s v="C2211"/>
    <s v="P1009"/>
    <n v="6"/>
    <n v="134.61000000000001"/>
    <x v="299"/>
    <n v="242.29799999999997"/>
    <x v="2"/>
    <n v="9"/>
    <x v="9"/>
    <x v="0"/>
  </r>
  <r>
    <s v="ORD-5704"/>
    <d v="2024-12-30T00:00:00"/>
    <s v="C2453"/>
    <s v="P1014"/>
    <n v="2"/>
    <n v="193.35"/>
    <x v="217"/>
    <n v="116.00999999999999"/>
    <x v="3"/>
    <n v="30"/>
    <x v="5"/>
    <x v="1"/>
  </r>
  <r>
    <s v="ORD-5705"/>
    <d v="2024-04-04T00:00:00"/>
    <s v="C2264"/>
    <s v="P1022"/>
    <n v="5"/>
    <n v="195.89"/>
    <x v="338"/>
    <n v="293.83499999999998"/>
    <x v="0"/>
    <n v="4"/>
    <x v="6"/>
    <x v="1"/>
  </r>
  <r>
    <s v="ORD-5706"/>
    <d v="2025-03-29T00:00:00"/>
    <s v="C2477"/>
    <s v="P1017"/>
    <n v="1"/>
    <n v="60.32"/>
    <x v="377"/>
    <n v="18.096"/>
    <x v="1"/>
    <n v="29"/>
    <x v="1"/>
    <x v="0"/>
  </r>
  <r>
    <s v="ORD-5707"/>
    <d v="2024-03-03T00:00:00"/>
    <s v="C2400"/>
    <s v="P1049"/>
    <n v="10"/>
    <n v="29.94"/>
    <x v="378"/>
    <n v="89.82"/>
    <x v="1"/>
    <n v="3"/>
    <x v="1"/>
    <x v="1"/>
  </r>
  <r>
    <s v="ORD-5708"/>
    <d v="2024-03-29T00:00:00"/>
    <s v="C2225"/>
    <s v="P1027"/>
    <n v="10"/>
    <n v="134.32"/>
    <x v="20"/>
    <n v="402.96"/>
    <x v="2"/>
    <n v="29"/>
    <x v="1"/>
    <x v="1"/>
  </r>
  <r>
    <s v="ORD-5709"/>
    <d v="2025-04-28T00:00:00"/>
    <s v="C2176"/>
    <s v="P1040"/>
    <n v="10"/>
    <n v="58.12"/>
    <x v="379"/>
    <n v="174.36"/>
    <x v="1"/>
    <n v="28"/>
    <x v="6"/>
    <x v="0"/>
  </r>
  <r>
    <s v="ORD-5710"/>
    <d v="2024-11-02T00:00:00"/>
    <s v="C2313"/>
    <s v="P1046"/>
    <n v="10"/>
    <n v="89.24"/>
    <x v="380"/>
    <n v="267.71999999999997"/>
    <x v="3"/>
    <n v="2"/>
    <x v="10"/>
    <x v="1"/>
  </r>
  <r>
    <s v="ORD-5711"/>
    <d v="2024-01-22T00:00:00"/>
    <s v="C2489"/>
    <s v="P1014"/>
    <n v="4"/>
    <n v="193.35"/>
    <x v="381"/>
    <n v="232.01999999999998"/>
    <x v="0"/>
    <n v="22"/>
    <x v="3"/>
    <x v="1"/>
  </r>
  <r>
    <s v="ORD-5712"/>
    <d v="2025-02-01T00:00:00"/>
    <s v="C2109"/>
    <s v="P1037"/>
    <n v="6"/>
    <n v="49.95"/>
    <x v="185"/>
    <n v="89.91"/>
    <x v="1"/>
    <n v="1"/>
    <x v="4"/>
    <x v="0"/>
  </r>
  <r>
    <s v="ORD-5713"/>
    <d v="2024-04-29T00:00:00"/>
    <s v="C2195"/>
    <s v="P1022"/>
    <n v="9"/>
    <n v="195.89"/>
    <x v="382"/>
    <n v="528.90300000000002"/>
    <x v="2"/>
    <n v="29"/>
    <x v="6"/>
    <x v="1"/>
  </r>
  <r>
    <s v="ORD-5714"/>
    <d v="2024-05-05T00:00:00"/>
    <s v="C2135"/>
    <s v="P1021"/>
    <n v="10"/>
    <n v="165.9"/>
    <x v="357"/>
    <n v="497.7"/>
    <x v="1"/>
    <n v="5"/>
    <x v="2"/>
    <x v="1"/>
  </r>
  <r>
    <s v="ORD-5715"/>
    <d v="2025-02-06T00:00:00"/>
    <s v="C2198"/>
    <s v="P1035"/>
    <n v="7"/>
    <n v="176.31"/>
    <x v="383"/>
    <n v="370.25100000000003"/>
    <x v="3"/>
    <n v="6"/>
    <x v="4"/>
    <x v="0"/>
  </r>
  <r>
    <s v="ORD-5716"/>
    <d v="2025-11-06T00:00:00"/>
    <s v="C2097"/>
    <s v="P1012"/>
    <n v="9"/>
    <n v="112.61"/>
    <x v="37"/>
    <n v="304.04699999999997"/>
    <x v="1"/>
    <n v="6"/>
    <x v="10"/>
    <x v="0"/>
  </r>
  <r>
    <s v="ORD-5717"/>
    <d v="2024-04-04T00:00:00"/>
    <s v="C2464"/>
    <s v="P1003"/>
    <n v="10"/>
    <n v="29.47"/>
    <x v="384"/>
    <n v="88.41"/>
    <x v="3"/>
    <n v="4"/>
    <x v="6"/>
    <x v="1"/>
  </r>
  <r>
    <s v="ORD-5718"/>
    <d v="2024-01-22T00:00:00"/>
    <s v="C2322"/>
    <s v="P1027"/>
    <n v="9"/>
    <n v="134.32"/>
    <x v="105"/>
    <n v="362.66400000000004"/>
    <x v="1"/>
    <n v="22"/>
    <x v="3"/>
    <x v="1"/>
  </r>
  <r>
    <s v="ORD-5719"/>
    <d v="2024-12-18T00:00:00"/>
    <s v="C2454"/>
    <s v="P1027"/>
    <n v="1"/>
    <n v="134.32"/>
    <x v="181"/>
    <n v="40.295999999999999"/>
    <x v="1"/>
    <n v="18"/>
    <x v="5"/>
    <x v="1"/>
  </r>
  <r>
    <s v="ORD-5720"/>
    <d v="2025-12-26T00:00:00"/>
    <s v="C2048"/>
    <s v="P1038"/>
    <n v="8"/>
    <n v="86.37"/>
    <x v="385"/>
    <n v="207.28800000000001"/>
    <x v="0"/>
    <n v="26"/>
    <x v="5"/>
    <x v="0"/>
  </r>
  <r>
    <s v="ORD-5721"/>
    <d v="2024-09-01T00:00:00"/>
    <s v="C2497"/>
    <s v="P1028"/>
    <n v="9"/>
    <n v="73.89"/>
    <x v="127"/>
    <n v="199.50299999999999"/>
    <x v="3"/>
    <n v="1"/>
    <x v="11"/>
    <x v="1"/>
  </r>
  <r>
    <s v="ORD-5722"/>
    <d v="2025-03-10T00:00:00"/>
    <s v="C2339"/>
    <s v="P1006"/>
    <n v="2"/>
    <n v="17.64"/>
    <x v="386"/>
    <n v="10.584"/>
    <x v="2"/>
    <n v="10"/>
    <x v="1"/>
    <x v="0"/>
  </r>
  <r>
    <s v="ORD-5723"/>
    <d v="2025-11-19T00:00:00"/>
    <s v="C2374"/>
    <s v="P1043"/>
    <n v="3"/>
    <n v="17.22"/>
    <x v="89"/>
    <n v="15.497999999999998"/>
    <x v="0"/>
    <n v="19"/>
    <x v="10"/>
    <x v="0"/>
  </r>
  <r>
    <s v="ORD-5724"/>
    <d v="2025-11-29T00:00:00"/>
    <s v="C2483"/>
    <s v="P1048"/>
    <n v="9"/>
    <n v="20.28"/>
    <x v="114"/>
    <n v="54.756"/>
    <x v="1"/>
    <n v="29"/>
    <x v="10"/>
    <x v="0"/>
  </r>
  <r>
    <s v="ORD-5725"/>
    <d v="2025-01-16T00:00:00"/>
    <s v="C2154"/>
    <s v="P1005"/>
    <n v="6"/>
    <n v="74.61"/>
    <x v="336"/>
    <n v="134.298"/>
    <x v="3"/>
    <n v="16"/>
    <x v="3"/>
    <x v="0"/>
  </r>
  <r>
    <s v="ORD-5726"/>
    <d v="2025-11-30T00:00:00"/>
    <s v="C2131"/>
    <s v="P1011"/>
    <n v="4"/>
    <n v="78.92"/>
    <x v="272"/>
    <n v="94.703999999999994"/>
    <x v="0"/>
    <n v="30"/>
    <x v="10"/>
    <x v="0"/>
  </r>
  <r>
    <s v="ORD-5727"/>
    <d v="2025-02-02T00:00:00"/>
    <s v="C2118"/>
    <s v="P1016"/>
    <n v="5"/>
    <n v="34.369999999999997"/>
    <x v="222"/>
    <n v="51.555"/>
    <x v="1"/>
    <n v="2"/>
    <x v="4"/>
    <x v="0"/>
  </r>
  <r>
    <s v="ORD-5728"/>
    <d v="2024-11-04T00:00:00"/>
    <s v="C2308"/>
    <s v="P1047"/>
    <n v="3"/>
    <n v="118.95"/>
    <x v="49"/>
    <n v="107.05500000000001"/>
    <x v="3"/>
    <n v="4"/>
    <x v="10"/>
    <x v="1"/>
  </r>
  <r>
    <s v="ORD-5729"/>
    <d v="2024-07-16T00:00:00"/>
    <s v="C2441"/>
    <s v="P1042"/>
    <n v="6"/>
    <n v="35.03"/>
    <x v="242"/>
    <n v="63.054000000000002"/>
    <x v="3"/>
    <n v="16"/>
    <x v="8"/>
    <x v="1"/>
  </r>
  <r>
    <s v="ORD-5730"/>
    <d v="2024-01-05T00:00:00"/>
    <s v="C2050"/>
    <s v="P1037"/>
    <n v="8"/>
    <n v="49.95"/>
    <x v="33"/>
    <n v="119.88"/>
    <x v="2"/>
    <n v="5"/>
    <x v="3"/>
    <x v="1"/>
  </r>
  <r>
    <s v="ORD-5731"/>
    <d v="2025-10-06T00:00:00"/>
    <s v="C2035"/>
    <s v="P1032"/>
    <n v="3"/>
    <n v="52.52"/>
    <x v="218"/>
    <n v="47.268000000000001"/>
    <x v="0"/>
    <n v="6"/>
    <x v="0"/>
    <x v="0"/>
  </r>
  <r>
    <s v="ORD-5732"/>
    <d v="2024-05-16T00:00:00"/>
    <s v="C2497"/>
    <s v="P1040"/>
    <n v="3"/>
    <n v="58.12"/>
    <x v="195"/>
    <n v="52.308"/>
    <x v="3"/>
    <n v="16"/>
    <x v="2"/>
    <x v="1"/>
  </r>
  <r>
    <s v="ORD-5733"/>
    <d v="2024-05-23T00:00:00"/>
    <s v="C2071"/>
    <s v="P1005"/>
    <n v="6"/>
    <n v="74.61"/>
    <x v="336"/>
    <n v="134.298"/>
    <x v="2"/>
    <n v="23"/>
    <x v="2"/>
    <x v="1"/>
  </r>
  <r>
    <s v="ORD-5734"/>
    <d v="2025-08-16T00:00:00"/>
    <s v="C2019"/>
    <s v="P1006"/>
    <n v="6"/>
    <n v="17.64"/>
    <x v="12"/>
    <n v="31.751999999999999"/>
    <x v="0"/>
    <n v="16"/>
    <x v="9"/>
    <x v="0"/>
  </r>
  <r>
    <s v="ORD-5735"/>
    <d v="2025-10-24T00:00:00"/>
    <s v="C2088"/>
    <s v="P1025"/>
    <n v="8"/>
    <n v="185.22"/>
    <x v="149"/>
    <n v="444.52799999999996"/>
    <x v="0"/>
    <n v="24"/>
    <x v="0"/>
    <x v="0"/>
  </r>
  <r>
    <s v="ORD-5736"/>
    <d v="2024-12-25T00:00:00"/>
    <s v="C2245"/>
    <s v="P1035"/>
    <n v="9"/>
    <n v="176.31"/>
    <x v="387"/>
    <n v="476.03699999999998"/>
    <x v="1"/>
    <n v="25"/>
    <x v="5"/>
    <x v="1"/>
  </r>
  <r>
    <s v="ORD-5737"/>
    <d v="2025-08-26T00:00:00"/>
    <s v="C2488"/>
    <s v="P1023"/>
    <n v="1"/>
    <n v="157.13"/>
    <x v="267"/>
    <n v="47.138999999999996"/>
    <x v="2"/>
    <n v="26"/>
    <x v="9"/>
    <x v="0"/>
  </r>
  <r>
    <s v="ORD-5738"/>
    <d v="2024-04-07T00:00:00"/>
    <s v="C2322"/>
    <s v="P1047"/>
    <n v="7"/>
    <n v="118.95"/>
    <x v="362"/>
    <n v="249.79499999999999"/>
    <x v="1"/>
    <n v="7"/>
    <x v="6"/>
    <x v="1"/>
  </r>
  <r>
    <s v="ORD-5739"/>
    <d v="2025-02-04T00:00:00"/>
    <s v="C2052"/>
    <s v="P1024"/>
    <n v="7"/>
    <n v="180.47"/>
    <x v="312"/>
    <n v="378.98699999999997"/>
    <x v="0"/>
    <n v="4"/>
    <x v="4"/>
    <x v="0"/>
  </r>
  <r>
    <s v="ORD-5740"/>
    <d v="2025-02-13T00:00:00"/>
    <s v="C2401"/>
    <s v="P1031"/>
    <n v="2"/>
    <n v="107.88"/>
    <x v="16"/>
    <n v="64.727999999999994"/>
    <x v="0"/>
    <n v="13"/>
    <x v="4"/>
    <x v="0"/>
  </r>
  <r>
    <s v="ORD-5741"/>
    <d v="2024-02-13T00:00:00"/>
    <s v="C2029"/>
    <s v="P1039"/>
    <n v="1"/>
    <n v="103.45"/>
    <x v="340"/>
    <n v="31.035"/>
    <x v="1"/>
    <n v="13"/>
    <x v="4"/>
    <x v="1"/>
  </r>
  <r>
    <s v="ORD-5742"/>
    <d v="2025-08-16T00:00:00"/>
    <s v="C2353"/>
    <s v="P1004"/>
    <n v="7"/>
    <n v="28.55"/>
    <x v="43"/>
    <n v="59.954999999999998"/>
    <x v="3"/>
    <n v="16"/>
    <x v="9"/>
    <x v="0"/>
  </r>
  <r>
    <s v="ORD-5743"/>
    <d v="2025-09-21T00:00:00"/>
    <s v="C2278"/>
    <s v="P1049"/>
    <n v="4"/>
    <n v="29.94"/>
    <x v="59"/>
    <n v="35.927999999999997"/>
    <x v="2"/>
    <n v="21"/>
    <x v="11"/>
    <x v="0"/>
  </r>
  <r>
    <s v="ORD-5744"/>
    <d v="2025-06-08T00:00:00"/>
    <s v="C2101"/>
    <s v="P1047"/>
    <n v="2"/>
    <n v="118.95"/>
    <x v="388"/>
    <n v="71.37"/>
    <x v="0"/>
    <n v="8"/>
    <x v="7"/>
    <x v="0"/>
  </r>
  <r>
    <s v="ORD-5745"/>
    <d v="2025-11-26T00:00:00"/>
    <s v="C2437"/>
    <s v="P1033"/>
    <n v="1"/>
    <n v="18.850000000000001"/>
    <x v="9"/>
    <n v="5.6550000000000002"/>
    <x v="2"/>
    <n v="26"/>
    <x v="10"/>
    <x v="0"/>
  </r>
  <r>
    <s v="ORD-5746"/>
    <d v="2025-12-06T00:00:00"/>
    <s v="C2450"/>
    <s v="P1001"/>
    <n v="7"/>
    <n v="108.19"/>
    <x v="389"/>
    <n v="227.19900000000001"/>
    <x v="1"/>
    <n v="6"/>
    <x v="5"/>
    <x v="0"/>
  </r>
  <r>
    <s v="ORD-5747"/>
    <d v="2025-10-01T00:00:00"/>
    <s v="C2176"/>
    <s v="P1040"/>
    <n v="5"/>
    <n v="58.12"/>
    <x v="254"/>
    <n v="87.18"/>
    <x v="1"/>
    <n v="1"/>
    <x v="0"/>
    <x v="0"/>
  </r>
  <r>
    <s v="ORD-5748"/>
    <d v="2025-12-13T00:00:00"/>
    <s v="C2309"/>
    <s v="P1025"/>
    <n v="8"/>
    <n v="185.22"/>
    <x v="149"/>
    <n v="444.52799999999996"/>
    <x v="3"/>
    <n v="13"/>
    <x v="5"/>
    <x v="0"/>
  </r>
  <r>
    <s v="ORD-5749"/>
    <d v="2025-05-11T00:00:00"/>
    <s v="C2491"/>
    <s v="P1044"/>
    <n v="8"/>
    <n v="104.84"/>
    <x v="147"/>
    <n v="251.61599999999999"/>
    <x v="0"/>
    <n v="11"/>
    <x v="2"/>
    <x v="0"/>
  </r>
  <r>
    <s v="ORD-5750"/>
    <d v="2024-09-23T00:00:00"/>
    <s v="C2268"/>
    <s v="P1040"/>
    <n v="8"/>
    <n v="58.12"/>
    <x v="308"/>
    <n v="139.488"/>
    <x v="0"/>
    <n v="23"/>
    <x v="11"/>
    <x v="1"/>
  </r>
  <r>
    <s v="ORD-5751"/>
    <d v="2024-02-12T00:00:00"/>
    <s v="C2275"/>
    <s v="P1029"/>
    <n v="9"/>
    <n v="162.21"/>
    <x v="27"/>
    <n v="437.96700000000004"/>
    <x v="0"/>
    <n v="12"/>
    <x v="4"/>
    <x v="1"/>
  </r>
  <r>
    <s v="ORD-5752"/>
    <d v="2024-03-27T00:00:00"/>
    <s v="C2012"/>
    <s v="P1008"/>
    <n v="1"/>
    <n v="68.41"/>
    <x v="214"/>
    <n v="20.523"/>
    <x v="0"/>
    <n v="27"/>
    <x v="1"/>
    <x v="1"/>
  </r>
  <r>
    <s v="ORD-5753"/>
    <d v="2025-03-17T00:00:00"/>
    <s v="C2027"/>
    <s v="P1046"/>
    <n v="7"/>
    <n v="89.24"/>
    <x v="123"/>
    <n v="187.40399999999997"/>
    <x v="0"/>
    <n v="17"/>
    <x v="1"/>
    <x v="0"/>
  </r>
  <r>
    <s v="ORD-5754"/>
    <d v="2025-06-19T00:00:00"/>
    <s v="C2092"/>
    <s v="P1015"/>
    <n v="7"/>
    <n v="52.45"/>
    <x v="42"/>
    <n v="110.145"/>
    <x v="1"/>
    <n v="19"/>
    <x v="7"/>
    <x v="0"/>
  </r>
  <r>
    <s v="ORD-5755"/>
    <d v="2024-06-15T00:00:00"/>
    <s v="C2129"/>
    <s v="P1028"/>
    <n v="10"/>
    <n v="73.89"/>
    <x v="310"/>
    <n v="221.67"/>
    <x v="1"/>
    <n v="15"/>
    <x v="7"/>
    <x v="1"/>
  </r>
  <r>
    <s v="ORD-5756"/>
    <d v="2025-07-09T00:00:00"/>
    <s v="C2040"/>
    <s v="P1048"/>
    <n v="6"/>
    <n v="20.28"/>
    <x v="202"/>
    <n v="36.503999999999998"/>
    <x v="1"/>
    <n v="9"/>
    <x v="8"/>
    <x v="0"/>
  </r>
  <r>
    <s v="ORD-5757"/>
    <d v="2024-11-27T00:00:00"/>
    <s v="C2196"/>
    <s v="P1017"/>
    <n v="8"/>
    <n v="60.32"/>
    <x v="271"/>
    <n v="144.768"/>
    <x v="1"/>
    <n v="27"/>
    <x v="10"/>
    <x v="1"/>
  </r>
  <r>
    <s v="ORD-5758"/>
    <d v="2024-02-02T00:00:00"/>
    <s v="C2205"/>
    <s v="P1038"/>
    <n v="2"/>
    <n v="86.37"/>
    <x v="390"/>
    <n v="51.822000000000003"/>
    <x v="2"/>
    <n v="2"/>
    <x v="4"/>
    <x v="1"/>
  </r>
  <r>
    <s v="ORD-5759"/>
    <d v="2024-12-02T00:00:00"/>
    <s v="C2055"/>
    <s v="P1003"/>
    <n v="10"/>
    <n v="29.47"/>
    <x v="384"/>
    <n v="88.41"/>
    <x v="0"/>
    <n v="2"/>
    <x v="5"/>
    <x v="1"/>
  </r>
  <r>
    <s v="ORD-5760"/>
    <d v="2024-11-29T00:00:00"/>
    <s v="C2350"/>
    <s v="P1041"/>
    <n v="10"/>
    <n v="28.49"/>
    <x v="284"/>
    <n v="85.469999999999985"/>
    <x v="0"/>
    <n v="29"/>
    <x v="10"/>
    <x v="1"/>
  </r>
  <r>
    <s v="ORD-5761"/>
    <d v="2025-10-07T00:00:00"/>
    <s v="C2384"/>
    <s v="P1007"/>
    <n v="8"/>
    <n v="162.96"/>
    <x v="391"/>
    <n v="391.10399999999998"/>
    <x v="2"/>
    <n v="7"/>
    <x v="0"/>
    <x v="0"/>
  </r>
  <r>
    <s v="ORD-5762"/>
    <d v="2025-05-14T00:00:00"/>
    <s v="C2219"/>
    <s v="P1026"/>
    <n v="1"/>
    <n v="64.62"/>
    <x v="13"/>
    <n v="19.385999999999999"/>
    <x v="3"/>
    <n v="14"/>
    <x v="2"/>
    <x v="0"/>
  </r>
  <r>
    <s v="ORD-5763"/>
    <d v="2024-09-08T00:00:00"/>
    <s v="C2222"/>
    <s v="P1001"/>
    <n v="8"/>
    <n v="108.19"/>
    <x v="291"/>
    <n v="259.65600000000001"/>
    <x v="3"/>
    <n v="8"/>
    <x v="11"/>
    <x v="1"/>
  </r>
  <r>
    <s v="ORD-5764"/>
    <d v="2024-12-29T00:00:00"/>
    <s v="C2441"/>
    <s v="P1047"/>
    <n v="9"/>
    <n v="118.95"/>
    <x v="179"/>
    <n v="321.16499999999996"/>
    <x v="3"/>
    <n v="29"/>
    <x v="5"/>
    <x v="1"/>
  </r>
  <r>
    <s v="ORD-5765"/>
    <d v="2025-10-26T00:00:00"/>
    <s v="C2076"/>
    <s v="P1023"/>
    <n v="7"/>
    <n v="157.13"/>
    <x v="247"/>
    <n v="329.97300000000001"/>
    <x v="0"/>
    <n v="26"/>
    <x v="0"/>
    <x v="0"/>
  </r>
  <r>
    <s v="ORD-5766"/>
    <d v="2024-07-09T00:00:00"/>
    <s v="C2378"/>
    <s v="P1028"/>
    <n v="7"/>
    <n v="73.89"/>
    <x v="317"/>
    <n v="155.16900000000001"/>
    <x v="2"/>
    <n v="9"/>
    <x v="8"/>
    <x v="1"/>
  </r>
  <r>
    <s v="ORD-5767"/>
    <d v="2025-03-06T00:00:00"/>
    <s v="C2307"/>
    <s v="P1006"/>
    <n v="8"/>
    <n v="17.64"/>
    <x v="392"/>
    <n v="42.335999999999999"/>
    <x v="1"/>
    <n v="6"/>
    <x v="1"/>
    <x v="0"/>
  </r>
  <r>
    <s v="ORD-5768"/>
    <d v="2025-07-09T00:00:00"/>
    <s v="C2180"/>
    <s v="P1032"/>
    <n v="2"/>
    <n v="52.52"/>
    <x v="47"/>
    <n v="31.512"/>
    <x v="0"/>
    <n v="9"/>
    <x v="8"/>
    <x v="0"/>
  </r>
  <r>
    <s v="ORD-5769"/>
    <d v="2024-09-01T00:00:00"/>
    <s v="C2249"/>
    <s v="P1009"/>
    <n v="8"/>
    <n v="134.61000000000001"/>
    <x v="365"/>
    <n v="323.06400000000002"/>
    <x v="3"/>
    <n v="1"/>
    <x v="11"/>
    <x v="1"/>
  </r>
  <r>
    <s v="ORD-5770"/>
    <d v="2024-01-05T00:00:00"/>
    <s v="C2155"/>
    <s v="P1003"/>
    <n v="2"/>
    <n v="29.47"/>
    <x v="393"/>
    <n v="17.681999999999999"/>
    <x v="0"/>
    <n v="5"/>
    <x v="3"/>
    <x v="1"/>
  </r>
  <r>
    <s v="ORD-5771"/>
    <d v="2025-02-18T00:00:00"/>
    <s v="C2267"/>
    <s v="P1017"/>
    <n v="4"/>
    <n v="60.32"/>
    <x v="240"/>
    <n v="72.384"/>
    <x v="1"/>
    <n v="18"/>
    <x v="4"/>
    <x v="0"/>
  </r>
  <r>
    <s v="ORD-5772"/>
    <d v="2024-12-22T00:00:00"/>
    <s v="C2465"/>
    <s v="P1019"/>
    <n v="5"/>
    <n v="182.55"/>
    <x v="394"/>
    <n v="273.82499999999999"/>
    <x v="2"/>
    <n v="22"/>
    <x v="5"/>
    <x v="1"/>
  </r>
  <r>
    <s v="ORD-5773"/>
    <d v="2025-07-18T00:00:00"/>
    <s v="C2191"/>
    <s v="P1010"/>
    <n v="4"/>
    <n v="56.18"/>
    <x v="227"/>
    <n v="67.415999999999997"/>
    <x v="1"/>
    <n v="18"/>
    <x v="8"/>
    <x v="0"/>
  </r>
  <r>
    <s v="ORD-5774"/>
    <d v="2025-11-13T00:00:00"/>
    <s v="C2469"/>
    <s v="P1032"/>
    <n v="3"/>
    <n v="52.52"/>
    <x v="218"/>
    <n v="47.268000000000001"/>
    <x v="1"/>
    <n v="13"/>
    <x v="10"/>
    <x v="0"/>
  </r>
  <r>
    <s v="ORD-5775"/>
    <d v="2025-02-14T00:00:00"/>
    <s v="C2423"/>
    <s v="P1038"/>
    <n v="2"/>
    <n v="86.37"/>
    <x v="390"/>
    <n v="51.822000000000003"/>
    <x v="1"/>
    <n v="14"/>
    <x v="4"/>
    <x v="0"/>
  </r>
  <r>
    <s v="ORD-5776"/>
    <d v="2025-11-06T00:00:00"/>
    <s v="C2229"/>
    <s v="P1038"/>
    <n v="10"/>
    <n v="86.37"/>
    <x v="326"/>
    <n v="259.11"/>
    <x v="1"/>
    <n v="6"/>
    <x v="10"/>
    <x v="0"/>
  </r>
  <r>
    <s v="ORD-5777"/>
    <d v="2024-05-05T00:00:00"/>
    <s v="C2468"/>
    <s v="P1015"/>
    <n v="2"/>
    <n v="52.45"/>
    <x v="68"/>
    <n v="31.47"/>
    <x v="1"/>
    <n v="5"/>
    <x v="2"/>
    <x v="1"/>
  </r>
  <r>
    <s v="ORD-5778"/>
    <d v="2025-01-10T00:00:00"/>
    <s v="C2137"/>
    <s v="P1027"/>
    <n v="4"/>
    <n v="134.32"/>
    <x v="395"/>
    <n v="161.184"/>
    <x v="3"/>
    <n v="10"/>
    <x v="3"/>
    <x v="0"/>
  </r>
  <r>
    <s v="ORD-5779"/>
    <d v="2024-04-29T00:00:00"/>
    <s v="C2063"/>
    <s v="P1011"/>
    <n v="5"/>
    <n v="78.92"/>
    <x v="129"/>
    <n v="118.38"/>
    <x v="0"/>
    <n v="29"/>
    <x v="6"/>
    <x v="1"/>
  </r>
  <r>
    <s v="ORD-5780"/>
    <d v="2024-07-17T00:00:00"/>
    <s v="C2307"/>
    <s v="P1012"/>
    <n v="8"/>
    <n v="112.61"/>
    <x v="396"/>
    <n v="270.26400000000001"/>
    <x v="1"/>
    <n v="17"/>
    <x v="8"/>
    <x v="1"/>
  </r>
  <r>
    <s v="ORD-5781"/>
    <d v="2024-06-19T00:00:00"/>
    <s v="C2216"/>
    <s v="P1020"/>
    <n v="9"/>
    <n v="24.62"/>
    <x v="154"/>
    <n v="66.474000000000004"/>
    <x v="1"/>
    <n v="19"/>
    <x v="7"/>
    <x v="1"/>
  </r>
  <r>
    <s v="ORD-5782"/>
    <d v="2025-08-31T00:00:00"/>
    <s v="C2108"/>
    <s v="P1012"/>
    <n v="4"/>
    <n v="112.61"/>
    <x v="44"/>
    <n v="135.13200000000001"/>
    <x v="3"/>
    <n v="31"/>
    <x v="9"/>
    <x v="0"/>
  </r>
  <r>
    <s v="ORD-5783"/>
    <d v="2025-05-07T00:00:00"/>
    <s v="C2279"/>
    <s v="P1046"/>
    <n v="2"/>
    <n v="89.24"/>
    <x v="397"/>
    <n v="53.543999999999997"/>
    <x v="2"/>
    <n v="7"/>
    <x v="2"/>
    <x v="0"/>
  </r>
  <r>
    <s v="ORD-5784"/>
    <d v="2024-11-03T00:00:00"/>
    <s v="C2282"/>
    <s v="P1018"/>
    <n v="6"/>
    <n v="38.93"/>
    <x v="145"/>
    <n v="70.073999999999998"/>
    <x v="2"/>
    <n v="3"/>
    <x v="10"/>
    <x v="1"/>
  </r>
  <r>
    <s v="ORD-5785"/>
    <d v="2024-04-07T00:00:00"/>
    <s v="C2451"/>
    <s v="P1003"/>
    <n v="1"/>
    <n v="29.47"/>
    <x v="398"/>
    <n v="8.8409999999999993"/>
    <x v="2"/>
    <n v="7"/>
    <x v="6"/>
    <x v="1"/>
  </r>
  <r>
    <s v="ORD-5786"/>
    <d v="2024-01-12T00:00:00"/>
    <s v="C2038"/>
    <s v="P1045"/>
    <n v="5"/>
    <n v="115.1"/>
    <x v="125"/>
    <n v="172.65"/>
    <x v="2"/>
    <n v="12"/>
    <x v="3"/>
    <x v="1"/>
  </r>
  <r>
    <s v="ORD-5787"/>
    <d v="2024-10-19T00:00:00"/>
    <s v="C2177"/>
    <s v="P1041"/>
    <n v="10"/>
    <n v="28.49"/>
    <x v="284"/>
    <n v="85.469999999999985"/>
    <x v="2"/>
    <n v="19"/>
    <x v="0"/>
    <x v="1"/>
  </r>
  <r>
    <s v="ORD-5788"/>
    <d v="2025-11-16T00:00:00"/>
    <s v="C2475"/>
    <s v="P1050"/>
    <n v="9"/>
    <n v="48.76"/>
    <x v="210"/>
    <n v="131.65199999999999"/>
    <x v="0"/>
    <n v="16"/>
    <x v="10"/>
    <x v="0"/>
  </r>
  <r>
    <s v="ORD-5789"/>
    <d v="2024-10-25T00:00:00"/>
    <s v="C2409"/>
    <s v="P1004"/>
    <n v="7"/>
    <n v="28.55"/>
    <x v="43"/>
    <n v="59.954999999999998"/>
    <x v="3"/>
    <n v="25"/>
    <x v="0"/>
    <x v="1"/>
  </r>
  <r>
    <s v="ORD-5790"/>
    <d v="2024-06-30T00:00:00"/>
    <s v="C2344"/>
    <s v="P1047"/>
    <n v="5"/>
    <n v="118.95"/>
    <x v="194"/>
    <n v="178.42499999999998"/>
    <x v="1"/>
    <n v="30"/>
    <x v="7"/>
    <x v="1"/>
  </r>
  <r>
    <s v="ORD-5791"/>
    <d v="2025-05-17T00:00:00"/>
    <s v="C2049"/>
    <s v="P1037"/>
    <n v="6"/>
    <n v="49.95"/>
    <x v="185"/>
    <n v="89.91"/>
    <x v="1"/>
    <n v="17"/>
    <x v="2"/>
    <x v="0"/>
  </r>
  <r>
    <s v="ORD-5792"/>
    <d v="2024-07-28T00:00:00"/>
    <s v="C2028"/>
    <s v="P1002"/>
    <n v="2"/>
    <n v="89.88"/>
    <x v="206"/>
    <n v="53.927999999999997"/>
    <x v="1"/>
    <n v="28"/>
    <x v="8"/>
    <x v="1"/>
  </r>
  <r>
    <s v="ORD-5793"/>
    <d v="2024-09-04T00:00:00"/>
    <s v="C2372"/>
    <s v="P1019"/>
    <n v="3"/>
    <n v="182.55"/>
    <x v="52"/>
    <n v="164.29499999999999"/>
    <x v="1"/>
    <n v="4"/>
    <x v="11"/>
    <x v="1"/>
  </r>
  <r>
    <s v="ORD-5794"/>
    <d v="2025-08-26T00:00:00"/>
    <s v="C2180"/>
    <s v="P1015"/>
    <n v="2"/>
    <n v="52.45"/>
    <x v="68"/>
    <n v="31.47"/>
    <x v="0"/>
    <n v="26"/>
    <x v="9"/>
    <x v="0"/>
  </r>
  <r>
    <s v="ORD-5795"/>
    <d v="2024-10-13T00:00:00"/>
    <s v="C2234"/>
    <s v="P1018"/>
    <n v="5"/>
    <n v="38.93"/>
    <x v="143"/>
    <n v="58.394999999999996"/>
    <x v="2"/>
    <n v="13"/>
    <x v="0"/>
    <x v="1"/>
  </r>
  <r>
    <s v="ORD-5796"/>
    <d v="2024-06-02T00:00:00"/>
    <s v="C2149"/>
    <s v="P1040"/>
    <n v="9"/>
    <n v="58.12"/>
    <x v="399"/>
    <n v="156.92400000000001"/>
    <x v="1"/>
    <n v="2"/>
    <x v="7"/>
    <x v="1"/>
  </r>
  <r>
    <s v="ORD-5797"/>
    <d v="2025-08-18T00:00:00"/>
    <s v="C2368"/>
    <s v="P1013"/>
    <n v="7"/>
    <n v="91.3"/>
    <x v="270"/>
    <n v="191.73"/>
    <x v="3"/>
    <n v="18"/>
    <x v="9"/>
    <x v="0"/>
  </r>
  <r>
    <s v="ORD-5798"/>
    <d v="2025-05-24T00:00:00"/>
    <s v="C2365"/>
    <s v="P1046"/>
    <n v="1"/>
    <n v="89.24"/>
    <x v="128"/>
    <n v="26.771999999999998"/>
    <x v="2"/>
    <n v="24"/>
    <x v="2"/>
    <x v="0"/>
  </r>
  <r>
    <s v="ORD-5799"/>
    <d v="2025-04-16T00:00:00"/>
    <s v="C2197"/>
    <s v="P1027"/>
    <n v="8"/>
    <n v="134.32"/>
    <x v="97"/>
    <n v="322.36799999999999"/>
    <x v="3"/>
    <n v="16"/>
    <x v="6"/>
    <x v="0"/>
  </r>
  <r>
    <s v="ORD-5800"/>
    <d v="2025-10-28T00:00:00"/>
    <s v="C2161"/>
    <s v="P1049"/>
    <n v="3"/>
    <n v="29.94"/>
    <x v="306"/>
    <n v="26.945999999999998"/>
    <x v="2"/>
    <n v="28"/>
    <x v="0"/>
    <x v="0"/>
  </r>
  <r>
    <s v="ORD-5801"/>
    <d v="2024-07-20T00:00:00"/>
    <s v="C2035"/>
    <s v="P1010"/>
    <n v="4"/>
    <n v="56.18"/>
    <x v="227"/>
    <n v="67.415999999999997"/>
    <x v="3"/>
    <n v="20"/>
    <x v="8"/>
    <x v="1"/>
  </r>
  <r>
    <s v="ORD-5802"/>
    <d v="2024-06-05T00:00:00"/>
    <s v="C2317"/>
    <s v="P1038"/>
    <n v="6"/>
    <n v="86.37"/>
    <x v="400"/>
    <n v="155.46600000000001"/>
    <x v="2"/>
    <n v="5"/>
    <x v="7"/>
    <x v="1"/>
  </r>
  <r>
    <s v="ORD-5803"/>
    <d v="2025-10-03T00:00:00"/>
    <s v="C2341"/>
    <s v="P1044"/>
    <n v="6"/>
    <n v="104.84"/>
    <x v="401"/>
    <n v="188.71199999999999"/>
    <x v="3"/>
    <n v="3"/>
    <x v="0"/>
    <x v="0"/>
  </r>
  <r>
    <s v="ORD-5804"/>
    <d v="2025-03-17T00:00:00"/>
    <s v="C2427"/>
    <s v="P1038"/>
    <n v="4"/>
    <n v="86.37"/>
    <x v="1"/>
    <n v="103.64400000000001"/>
    <x v="1"/>
    <n v="17"/>
    <x v="1"/>
    <x v="0"/>
  </r>
  <r>
    <s v="ORD-5805"/>
    <d v="2024-08-31T00:00:00"/>
    <s v="C2343"/>
    <s v="P1006"/>
    <n v="4"/>
    <n v="17.64"/>
    <x v="168"/>
    <n v="21.167999999999999"/>
    <x v="3"/>
    <n v="31"/>
    <x v="9"/>
    <x v="1"/>
  </r>
  <r>
    <s v="ORD-5806"/>
    <d v="2025-10-06T00:00:00"/>
    <s v="C2268"/>
    <s v="P1007"/>
    <n v="1"/>
    <n v="162.96"/>
    <x v="369"/>
    <n v="48.887999999999998"/>
    <x v="1"/>
    <n v="6"/>
    <x v="0"/>
    <x v="0"/>
  </r>
  <r>
    <s v="ORD-5807"/>
    <d v="2024-05-24T00:00:00"/>
    <s v="C2430"/>
    <s v="P1008"/>
    <n v="4"/>
    <n v="68.41"/>
    <x v="402"/>
    <n v="82.091999999999999"/>
    <x v="2"/>
    <n v="24"/>
    <x v="2"/>
    <x v="1"/>
  </r>
  <r>
    <s v="ORD-5808"/>
    <d v="2024-09-20T00:00:00"/>
    <s v="C2310"/>
    <s v="P1045"/>
    <n v="10"/>
    <n v="115.1"/>
    <x v="264"/>
    <n v="345.3"/>
    <x v="3"/>
    <n v="20"/>
    <x v="11"/>
    <x v="1"/>
  </r>
  <r>
    <s v="ORD-5809"/>
    <d v="2025-10-30T00:00:00"/>
    <s v="C2356"/>
    <s v="P1019"/>
    <n v="5"/>
    <n v="182.55"/>
    <x v="394"/>
    <n v="273.82499999999999"/>
    <x v="1"/>
    <n v="30"/>
    <x v="0"/>
    <x v="0"/>
  </r>
  <r>
    <s v="ORD-5810"/>
    <d v="2025-02-18T00:00:00"/>
    <s v="C2065"/>
    <s v="P1029"/>
    <n v="4"/>
    <n v="162.21"/>
    <x v="303"/>
    <n v="194.65200000000002"/>
    <x v="2"/>
    <n v="18"/>
    <x v="4"/>
    <x v="0"/>
  </r>
  <r>
    <s v="ORD-5811"/>
    <d v="2024-03-17T00:00:00"/>
    <s v="C2413"/>
    <s v="P1042"/>
    <n v="2"/>
    <n v="35.03"/>
    <x v="216"/>
    <n v="21.018000000000001"/>
    <x v="3"/>
    <n v="17"/>
    <x v="1"/>
    <x v="1"/>
  </r>
  <r>
    <s v="ORD-5812"/>
    <d v="2024-04-03T00:00:00"/>
    <s v="C2056"/>
    <s v="P1046"/>
    <n v="2"/>
    <n v="89.24"/>
    <x v="397"/>
    <n v="53.543999999999997"/>
    <x v="1"/>
    <n v="3"/>
    <x v="6"/>
    <x v="1"/>
  </r>
  <r>
    <s v="ORD-5813"/>
    <d v="2024-01-01T00:00:00"/>
    <s v="C2314"/>
    <s v="P1011"/>
    <n v="5"/>
    <n v="78.92"/>
    <x v="129"/>
    <n v="118.38"/>
    <x v="1"/>
    <n v="1"/>
    <x v="3"/>
    <x v="1"/>
  </r>
  <r>
    <s v="ORD-5814"/>
    <d v="2025-12-17T00:00:00"/>
    <s v="C2106"/>
    <s v="P1007"/>
    <n v="2"/>
    <n v="162.96"/>
    <x v="403"/>
    <n v="97.775999999999996"/>
    <x v="3"/>
    <n v="17"/>
    <x v="5"/>
    <x v="0"/>
  </r>
  <r>
    <s v="ORD-5815"/>
    <d v="2024-06-28T00:00:00"/>
    <s v="C2323"/>
    <s v="P1029"/>
    <n v="10"/>
    <n v="162.21"/>
    <x v="45"/>
    <n v="486.62999999999994"/>
    <x v="1"/>
    <n v="28"/>
    <x v="7"/>
    <x v="1"/>
  </r>
  <r>
    <s v="ORD-5816"/>
    <d v="2024-11-06T00:00:00"/>
    <s v="C2209"/>
    <s v="P1035"/>
    <n v="9"/>
    <n v="176.31"/>
    <x v="387"/>
    <n v="476.03699999999998"/>
    <x v="0"/>
    <n v="6"/>
    <x v="10"/>
    <x v="1"/>
  </r>
  <r>
    <s v="ORD-5817"/>
    <d v="2024-08-14T00:00:00"/>
    <s v="C2467"/>
    <s v="P1048"/>
    <n v="3"/>
    <n v="20.28"/>
    <x v="94"/>
    <n v="18.251999999999999"/>
    <x v="3"/>
    <n v="14"/>
    <x v="9"/>
    <x v="1"/>
  </r>
  <r>
    <s v="ORD-5818"/>
    <d v="2024-01-30T00:00:00"/>
    <s v="C2376"/>
    <s v="P1034"/>
    <n v="5"/>
    <n v="41.45"/>
    <x v="32"/>
    <n v="62.174999999999997"/>
    <x v="3"/>
    <n v="30"/>
    <x v="3"/>
    <x v="1"/>
  </r>
  <r>
    <s v="ORD-5819"/>
    <d v="2024-05-20T00:00:00"/>
    <s v="C2368"/>
    <s v="P1025"/>
    <n v="10"/>
    <n v="185.22"/>
    <x v="2"/>
    <n v="555.66"/>
    <x v="2"/>
    <n v="20"/>
    <x v="2"/>
    <x v="1"/>
  </r>
  <r>
    <s v="ORD-5820"/>
    <d v="2025-10-31T00:00:00"/>
    <s v="C2310"/>
    <s v="P1031"/>
    <n v="10"/>
    <n v="107.88"/>
    <x v="252"/>
    <n v="323.64"/>
    <x v="1"/>
    <n v="31"/>
    <x v="0"/>
    <x v="0"/>
  </r>
  <r>
    <s v="ORD-5821"/>
    <d v="2024-08-16T00:00:00"/>
    <s v="C2089"/>
    <s v="P1006"/>
    <n v="4"/>
    <n v="17.64"/>
    <x v="168"/>
    <n v="21.167999999999999"/>
    <x v="3"/>
    <n v="16"/>
    <x v="9"/>
    <x v="1"/>
  </r>
  <r>
    <s v="ORD-5822"/>
    <d v="2024-11-19T00:00:00"/>
    <s v="C2010"/>
    <s v="P1022"/>
    <n v="3"/>
    <n v="195.89"/>
    <x v="404"/>
    <n v="176.30099999999999"/>
    <x v="2"/>
    <n v="19"/>
    <x v="10"/>
    <x v="1"/>
  </r>
  <r>
    <s v="ORD-5823"/>
    <d v="2025-03-13T00:00:00"/>
    <s v="C2329"/>
    <s v="P1045"/>
    <n v="10"/>
    <n v="115.1"/>
    <x v="264"/>
    <n v="345.3"/>
    <x v="0"/>
    <n v="13"/>
    <x v="1"/>
    <x v="0"/>
  </r>
  <r>
    <s v="ORD-5824"/>
    <d v="2025-05-17T00:00:00"/>
    <s v="C2254"/>
    <s v="P1013"/>
    <n v="5"/>
    <n v="91.3"/>
    <x v="359"/>
    <n v="136.94999999999999"/>
    <x v="2"/>
    <n v="17"/>
    <x v="2"/>
    <x v="0"/>
  </r>
  <r>
    <s v="ORD-5825"/>
    <d v="2025-08-04T00:00:00"/>
    <s v="C2256"/>
    <s v="P1025"/>
    <n v="8"/>
    <n v="185.22"/>
    <x v="149"/>
    <n v="444.52799999999996"/>
    <x v="1"/>
    <n v="4"/>
    <x v="9"/>
    <x v="0"/>
  </r>
  <r>
    <s v="ORD-5826"/>
    <d v="2025-05-10T00:00:00"/>
    <s v="C2353"/>
    <s v="P1011"/>
    <n v="3"/>
    <n v="78.92"/>
    <x v="289"/>
    <n v="71.027999999999992"/>
    <x v="0"/>
    <n v="10"/>
    <x v="2"/>
    <x v="0"/>
  </r>
  <r>
    <s v="ORD-5827"/>
    <d v="2024-07-10T00:00:00"/>
    <s v="C2156"/>
    <s v="P1019"/>
    <n v="6"/>
    <n v="182.55"/>
    <x v="405"/>
    <n v="328.59"/>
    <x v="3"/>
    <n v="10"/>
    <x v="8"/>
    <x v="1"/>
  </r>
  <r>
    <s v="ORD-5828"/>
    <d v="2024-11-07T00:00:00"/>
    <s v="C2096"/>
    <s v="P1015"/>
    <n v="10"/>
    <n v="52.45"/>
    <x v="285"/>
    <n v="157.35"/>
    <x v="0"/>
    <n v="7"/>
    <x v="10"/>
    <x v="1"/>
  </r>
  <r>
    <s v="ORD-5829"/>
    <d v="2024-07-10T00:00:00"/>
    <s v="C2454"/>
    <s v="P1033"/>
    <n v="7"/>
    <n v="18.850000000000001"/>
    <x v="406"/>
    <n v="39.584999999999994"/>
    <x v="2"/>
    <n v="10"/>
    <x v="8"/>
    <x v="1"/>
  </r>
  <r>
    <s v="ORD-5830"/>
    <d v="2024-07-07T00:00:00"/>
    <s v="C2236"/>
    <s v="P1036"/>
    <n v="1"/>
    <n v="53.74"/>
    <x v="71"/>
    <n v="16.122"/>
    <x v="3"/>
    <n v="7"/>
    <x v="8"/>
    <x v="1"/>
  </r>
  <r>
    <s v="ORD-5831"/>
    <d v="2025-09-05T00:00:00"/>
    <s v="C2336"/>
    <s v="P1009"/>
    <n v="9"/>
    <n v="134.61000000000001"/>
    <x v="243"/>
    <n v="363.447"/>
    <x v="0"/>
    <n v="5"/>
    <x v="11"/>
    <x v="0"/>
  </r>
  <r>
    <s v="ORD-5832"/>
    <d v="2024-12-29T00:00:00"/>
    <s v="C2450"/>
    <s v="P1028"/>
    <n v="8"/>
    <n v="73.89"/>
    <x v="407"/>
    <n v="177.33599999999998"/>
    <x v="1"/>
    <n v="29"/>
    <x v="5"/>
    <x v="1"/>
  </r>
  <r>
    <s v="ORD-5833"/>
    <d v="2025-10-11T00:00:00"/>
    <s v="C2448"/>
    <s v="P1049"/>
    <n v="9"/>
    <n v="29.94"/>
    <x v="172"/>
    <n v="80.837999999999994"/>
    <x v="0"/>
    <n v="11"/>
    <x v="0"/>
    <x v="0"/>
  </r>
  <r>
    <s v="ORD-5834"/>
    <d v="2025-03-26T00:00:00"/>
    <s v="C2092"/>
    <s v="P1042"/>
    <n v="1"/>
    <n v="35.03"/>
    <x v="158"/>
    <n v="10.509"/>
    <x v="2"/>
    <n v="26"/>
    <x v="1"/>
    <x v="0"/>
  </r>
  <r>
    <s v="ORD-5835"/>
    <d v="2025-12-07T00:00:00"/>
    <s v="C2422"/>
    <s v="P1034"/>
    <n v="3"/>
    <n v="41.45"/>
    <x v="142"/>
    <n v="37.305"/>
    <x v="0"/>
    <n v="7"/>
    <x v="5"/>
    <x v="0"/>
  </r>
  <r>
    <s v="ORD-5836"/>
    <d v="2024-06-11T00:00:00"/>
    <s v="C2224"/>
    <s v="P1039"/>
    <n v="5"/>
    <n v="103.45"/>
    <x v="408"/>
    <n v="155.17499999999998"/>
    <x v="3"/>
    <n v="11"/>
    <x v="7"/>
    <x v="1"/>
  </r>
  <r>
    <s v="ORD-5837"/>
    <d v="2025-09-23T00:00:00"/>
    <s v="C2029"/>
    <s v="P1022"/>
    <n v="6"/>
    <n v="195.89"/>
    <x v="333"/>
    <n v="352.60199999999998"/>
    <x v="0"/>
    <n v="23"/>
    <x v="11"/>
    <x v="0"/>
  </r>
  <r>
    <s v="ORD-5838"/>
    <d v="2025-12-10T00:00:00"/>
    <s v="C2014"/>
    <s v="P1004"/>
    <n v="6"/>
    <n v="28.55"/>
    <x v="409"/>
    <n v="51.39"/>
    <x v="1"/>
    <n v="10"/>
    <x v="5"/>
    <x v="0"/>
  </r>
  <r>
    <s v="ORD-5839"/>
    <d v="2024-10-20T00:00:00"/>
    <s v="C2219"/>
    <s v="P1043"/>
    <n v="2"/>
    <n v="17.22"/>
    <x v="258"/>
    <n v="10.331999999999999"/>
    <x v="3"/>
    <n v="20"/>
    <x v="0"/>
    <x v="1"/>
  </r>
  <r>
    <s v="ORD-5840"/>
    <d v="2025-03-27T00:00:00"/>
    <s v="C2371"/>
    <s v="P1007"/>
    <n v="9"/>
    <n v="162.96"/>
    <x v="31"/>
    <n v="439.99200000000002"/>
    <x v="3"/>
    <n v="27"/>
    <x v="1"/>
    <x v="0"/>
  </r>
  <r>
    <s v="ORD-5841"/>
    <d v="2024-02-03T00:00:00"/>
    <s v="C2062"/>
    <s v="P1041"/>
    <n v="2"/>
    <n v="28.49"/>
    <x v="40"/>
    <n v="17.093999999999998"/>
    <x v="2"/>
    <n v="3"/>
    <x v="4"/>
    <x v="1"/>
  </r>
  <r>
    <s v="ORD-5842"/>
    <d v="2025-03-27T00:00:00"/>
    <s v="C2307"/>
    <s v="P1033"/>
    <n v="4"/>
    <n v="18.850000000000001"/>
    <x v="341"/>
    <n v="22.62"/>
    <x v="0"/>
    <n v="27"/>
    <x v="1"/>
    <x v="0"/>
  </r>
  <r>
    <s v="ORD-5843"/>
    <d v="2025-03-15T00:00:00"/>
    <s v="C2391"/>
    <s v="P1049"/>
    <n v="7"/>
    <n v="29.94"/>
    <x v="410"/>
    <n v="62.874000000000002"/>
    <x v="1"/>
    <n v="15"/>
    <x v="1"/>
    <x v="0"/>
  </r>
  <r>
    <s v="ORD-5844"/>
    <d v="2024-07-12T00:00:00"/>
    <s v="C2401"/>
    <s v="P1026"/>
    <n v="1"/>
    <n v="64.62"/>
    <x v="13"/>
    <n v="19.385999999999999"/>
    <x v="0"/>
    <n v="12"/>
    <x v="8"/>
    <x v="1"/>
  </r>
  <r>
    <s v="ORD-5845"/>
    <d v="2024-12-12T00:00:00"/>
    <s v="C2221"/>
    <s v="P1002"/>
    <n v="2"/>
    <n v="89.88"/>
    <x v="206"/>
    <n v="53.927999999999997"/>
    <x v="2"/>
    <n v="12"/>
    <x v="5"/>
    <x v="1"/>
  </r>
  <r>
    <s v="ORD-5846"/>
    <d v="2025-09-10T00:00:00"/>
    <s v="C2092"/>
    <s v="P1027"/>
    <n v="10"/>
    <n v="134.32"/>
    <x v="20"/>
    <n v="402.96"/>
    <x v="1"/>
    <n v="10"/>
    <x v="11"/>
    <x v="0"/>
  </r>
  <r>
    <s v="ORD-5847"/>
    <d v="2025-05-30T00:00:00"/>
    <s v="C2206"/>
    <s v="P1008"/>
    <n v="2"/>
    <n v="68.41"/>
    <x v="411"/>
    <n v="41.045999999999999"/>
    <x v="2"/>
    <n v="30"/>
    <x v="2"/>
    <x v="0"/>
  </r>
  <r>
    <s v="ORD-5848"/>
    <d v="2024-05-04T00:00:00"/>
    <s v="C2171"/>
    <s v="P1028"/>
    <n v="9"/>
    <n v="73.89"/>
    <x v="127"/>
    <n v="199.50299999999999"/>
    <x v="3"/>
    <n v="4"/>
    <x v="2"/>
    <x v="1"/>
  </r>
  <r>
    <s v="ORD-5849"/>
    <d v="2024-10-19T00:00:00"/>
    <s v="C2344"/>
    <s v="P1001"/>
    <n v="2"/>
    <n v="108.19"/>
    <x v="190"/>
    <n v="64.914000000000001"/>
    <x v="2"/>
    <n v="19"/>
    <x v="0"/>
    <x v="1"/>
  </r>
  <r>
    <s v="ORD-5850"/>
    <d v="2025-11-03T00:00:00"/>
    <s v="C2265"/>
    <s v="P1012"/>
    <n v="6"/>
    <n v="112.61"/>
    <x v="0"/>
    <n v="202.69799999999998"/>
    <x v="1"/>
    <n v="3"/>
    <x v="10"/>
    <x v="0"/>
  </r>
  <r>
    <s v="ORD-5851"/>
    <d v="2024-09-28T00:00:00"/>
    <s v="C2380"/>
    <s v="P1041"/>
    <n v="9"/>
    <n v="28.49"/>
    <x v="412"/>
    <n v="76.923000000000002"/>
    <x v="3"/>
    <n v="28"/>
    <x v="11"/>
    <x v="1"/>
  </r>
  <r>
    <s v="ORD-5852"/>
    <d v="2024-03-02T00:00:00"/>
    <s v="C2308"/>
    <s v="P1035"/>
    <n v="8"/>
    <n v="176.31"/>
    <x v="241"/>
    <n v="423.14400000000001"/>
    <x v="3"/>
    <n v="2"/>
    <x v="1"/>
    <x v="1"/>
  </r>
  <r>
    <s v="ORD-5853"/>
    <d v="2025-12-23T00:00:00"/>
    <s v="C2185"/>
    <s v="P1046"/>
    <n v="1"/>
    <n v="89.24"/>
    <x v="128"/>
    <n v="26.771999999999998"/>
    <x v="1"/>
    <n v="23"/>
    <x v="5"/>
    <x v="0"/>
  </r>
  <r>
    <s v="ORD-5854"/>
    <d v="2024-01-23T00:00:00"/>
    <s v="C2238"/>
    <s v="P1036"/>
    <n v="2"/>
    <n v="53.74"/>
    <x v="230"/>
    <n v="32.244"/>
    <x v="2"/>
    <n v="23"/>
    <x v="3"/>
    <x v="1"/>
  </r>
  <r>
    <s v="ORD-5855"/>
    <d v="2025-05-25T00:00:00"/>
    <s v="C2243"/>
    <s v="P1029"/>
    <n v="1"/>
    <n v="162.21"/>
    <x v="354"/>
    <n v="48.663000000000004"/>
    <x v="2"/>
    <n v="25"/>
    <x v="2"/>
    <x v="0"/>
  </r>
  <r>
    <s v="ORD-5856"/>
    <d v="2025-03-28T00:00:00"/>
    <s v="C2272"/>
    <s v="P1008"/>
    <n v="3"/>
    <n v="68.41"/>
    <x v="60"/>
    <n v="61.568999999999996"/>
    <x v="1"/>
    <n v="28"/>
    <x v="1"/>
    <x v="0"/>
  </r>
  <r>
    <s v="ORD-5857"/>
    <d v="2025-11-09T00:00:00"/>
    <s v="C2395"/>
    <s v="P1013"/>
    <n v="4"/>
    <n v="91.3"/>
    <x v="413"/>
    <n v="109.55999999999999"/>
    <x v="2"/>
    <n v="9"/>
    <x v="10"/>
    <x v="0"/>
  </r>
  <r>
    <s v="ORD-5858"/>
    <d v="2024-01-12T00:00:00"/>
    <s v="C2320"/>
    <s v="P1046"/>
    <n v="1"/>
    <n v="89.24"/>
    <x v="128"/>
    <n v="26.771999999999998"/>
    <x v="3"/>
    <n v="12"/>
    <x v="3"/>
    <x v="1"/>
  </r>
  <r>
    <s v="ORD-5859"/>
    <d v="2025-04-20T00:00:00"/>
    <s v="C2376"/>
    <s v="P1033"/>
    <n v="6"/>
    <n v="18.850000000000001"/>
    <x v="414"/>
    <n v="33.93"/>
    <x v="0"/>
    <n v="20"/>
    <x v="6"/>
    <x v="0"/>
  </r>
  <r>
    <s v="ORD-5860"/>
    <d v="2024-02-17T00:00:00"/>
    <s v="C2085"/>
    <s v="P1012"/>
    <n v="3"/>
    <n v="112.61"/>
    <x v="141"/>
    <n v="101.34899999999999"/>
    <x v="1"/>
    <n v="17"/>
    <x v="4"/>
    <x v="1"/>
  </r>
  <r>
    <s v="ORD-5861"/>
    <d v="2024-04-30T00:00:00"/>
    <s v="C2261"/>
    <s v="P1025"/>
    <n v="5"/>
    <n v="185.22"/>
    <x v="135"/>
    <n v="277.83"/>
    <x v="3"/>
    <n v="30"/>
    <x v="6"/>
    <x v="1"/>
  </r>
  <r>
    <s v="ORD-5862"/>
    <d v="2024-03-03T00:00:00"/>
    <s v="C2053"/>
    <s v="P1034"/>
    <n v="10"/>
    <n v="41.45"/>
    <x v="415"/>
    <n v="124.35"/>
    <x v="0"/>
    <n v="3"/>
    <x v="1"/>
    <x v="1"/>
  </r>
  <r>
    <s v="ORD-5863"/>
    <d v="2024-02-14T00:00:00"/>
    <s v="C2449"/>
    <s v="P1041"/>
    <n v="5"/>
    <n v="28.49"/>
    <x v="229"/>
    <n v="42.734999999999992"/>
    <x v="2"/>
    <n v="14"/>
    <x v="4"/>
    <x v="1"/>
  </r>
  <r>
    <s v="ORD-5864"/>
    <d v="2024-06-09T00:00:00"/>
    <s v="C2432"/>
    <s v="P1009"/>
    <n v="4"/>
    <n v="134.61000000000001"/>
    <x v="196"/>
    <n v="161.53200000000001"/>
    <x v="3"/>
    <n v="9"/>
    <x v="7"/>
    <x v="1"/>
  </r>
  <r>
    <s v="ORD-5865"/>
    <d v="2024-02-02T00:00:00"/>
    <s v="C2292"/>
    <s v="P1024"/>
    <n v="4"/>
    <n v="180.47"/>
    <x v="48"/>
    <n v="216.56399999999999"/>
    <x v="2"/>
    <n v="2"/>
    <x v="4"/>
    <x v="1"/>
  </r>
  <r>
    <s v="ORD-5866"/>
    <d v="2025-10-15T00:00:00"/>
    <s v="C2114"/>
    <s v="P1003"/>
    <n v="6"/>
    <n v="29.47"/>
    <x v="360"/>
    <n v="53.045999999999999"/>
    <x v="1"/>
    <n v="15"/>
    <x v="0"/>
    <x v="0"/>
  </r>
  <r>
    <s v="ORD-5867"/>
    <d v="2024-04-19T00:00:00"/>
    <s v="C2104"/>
    <s v="P1040"/>
    <n v="4"/>
    <n v="58.12"/>
    <x v="93"/>
    <n v="69.744"/>
    <x v="2"/>
    <n v="19"/>
    <x v="6"/>
    <x v="1"/>
  </r>
  <r>
    <s v="ORD-5868"/>
    <d v="2024-01-27T00:00:00"/>
    <s v="C2198"/>
    <s v="P1049"/>
    <n v="10"/>
    <n v="29.94"/>
    <x v="378"/>
    <n v="89.82"/>
    <x v="3"/>
    <n v="27"/>
    <x v="3"/>
    <x v="1"/>
  </r>
  <r>
    <s v="ORD-5869"/>
    <d v="2025-09-14T00:00:00"/>
    <s v="C2202"/>
    <s v="P1027"/>
    <n v="6"/>
    <n v="134.32"/>
    <x v="416"/>
    <n v="241.77599999999998"/>
    <x v="2"/>
    <n v="14"/>
    <x v="11"/>
    <x v="0"/>
  </r>
  <r>
    <s v="ORD-5870"/>
    <d v="2025-05-20T00:00:00"/>
    <s v="C2499"/>
    <s v="P1011"/>
    <n v="7"/>
    <n v="78.92"/>
    <x v="417"/>
    <n v="165.732"/>
    <x v="3"/>
    <n v="20"/>
    <x v="2"/>
    <x v="0"/>
  </r>
  <r>
    <s v="ORD-5871"/>
    <d v="2025-11-16T00:00:00"/>
    <s v="C2180"/>
    <s v="P1031"/>
    <n v="9"/>
    <n v="107.88"/>
    <x v="198"/>
    <n v="291.27599999999995"/>
    <x v="1"/>
    <n v="16"/>
    <x v="10"/>
    <x v="0"/>
  </r>
  <r>
    <s v="ORD-5872"/>
    <d v="2025-09-19T00:00:00"/>
    <s v="C2356"/>
    <s v="P1031"/>
    <n v="1"/>
    <n v="107.88"/>
    <x v="367"/>
    <n v="32.363999999999997"/>
    <x v="1"/>
    <n v="19"/>
    <x v="11"/>
    <x v="0"/>
  </r>
  <r>
    <s v="ORD-5873"/>
    <d v="2025-11-17T00:00:00"/>
    <s v="C2145"/>
    <s v="P1001"/>
    <n v="8"/>
    <n v="108.19"/>
    <x v="291"/>
    <n v="259.65600000000001"/>
    <x v="2"/>
    <n v="17"/>
    <x v="10"/>
    <x v="0"/>
  </r>
  <r>
    <s v="ORD-5874"/>
    <d v="2024-09-27T00:00:00"/>
    <s v="C2323"/>
    <s v="P1048"/>
    <n v="9"/>
    <n v="20.28"/>
    <x v="114"/>
    <n v="54.756"/>
    <x v="3"/>
    <n v="27"/>
    <x v="11"/>
    <x v="1"/>
  </r>
  <r>
    <s v="ORD-5875"/>
    <d v="2025-12-10T00:00:00"/>
    <s v="C2303"/>
    <s v="P1024"/>
    <n v="8"/>
    <n v="180.47"/>
    <x v="246"/>
    <n v="433.12799999999999"/>
    <x v="0"/>
    <n v="10"/>
    <x v="5"/>
    <x v="0"/>
  </r>
  <r>
    <s v="ORD-5876"/>
    <d v="2024-01-30T00:00:00"/>
    <s v="C2488"/>
    <s v="P1045"/>
    <n v="1"/>
    <n v="115.1"/>
    <x v="418"/>
    <n v="34.529999999999994"/>
    <x v="0"/>
    <n v="30"/>
    <x v="3"/>
    <x v="1"/>
  </r>
  <r>
    <s v="ORD-5877"/>
    <d v="2024-02-11T00:00:00"/>
    <s v="C2364"/>
    <s v="P1006"/>
    <n v="7"/>
    <n v="17.64"/>
    <x v="80"/>
    <n v="37.043999999999997"/>
    <x v="2"/>
    <n v="11"/>
    <x v="4"/>
    <x v="1"/>
  </r>
  <r>
    <s v="ORD-5878"/>
    <d v="2025-01-12T00:00:00"/>
    <s v="C2089"/>
    <s v="P1021"/>
    <n v="3"/>
    <n v="165.9"/>
    <x v="295"/>
    <n v="149.31"/>
    <x v="0"/>
    <n v="12"/>
    <x v="3"/>
    <x v="0"/>
  </r>
  <r>
    <s v="ORD-5879"/>
    <d v="2024-03-21T00:00:00"/>
    <s v="C2224"/>
    <s v="P1036"/>
    <n v="7"/>
    <n v="53.74"/>
    <x v="177"/>
    <n v="112.854"/>
    <x v="1"/>
    <n v="21"/>
    <x v="1"/>
    <x v="1"/>
  </r>
  <r>
    <s v="ORD-5880"/>
    <d v="2025-08-05T00:00:00"/>
    <s v="C2267"/>
    <s v="P1019"/>
    <n v="6"/>
    <n v="182.55"/>
    <x v="405"/>
    <n v="328.59"/>
    <x v="2"/>
    <n v="5"/>
    <x v="9"/>
    <x v="0"/>
  </r>
  <r>
    <s v="ORD-5881"/>
    <d v="2024-06-21T00:00:00"/>
    <s v="C2154"/>
    <s v="P1018"/>
    <n v="6"/>
    <n v="38.93"/>
    <x v="145"/>
    <n v="70.073999999999998"/>
    <x v="0"/>
    <n v="21"/>
    <x v="7"/>
    <x v="1"/>
  </r>
  <r>
    <s v="ORD-5882"/>
    <d v="2024-11-09T00:00:00"/>
    <s v="C2488"/>
    <s v="P1027"/>
    <n v="6"/>
    <n v="134.32"/>
    <x v="416"/>
    <n v="241.77599999999998"/>
    <x v="1"/>
    <n v="9"/>
    <x v="10"/>
    <x v="1"/>
  </r>
  <r>
    <s v="ORD-5883"/>
    <d v="2025-06-03T00:00:00"/>
    <s v="C2463"/>
    <s v="P1024"/>
    <n v="9"/>
    <n v="180.47"/>
    <x v="419"/>
    <n v="487.26900000000001"/>
    <x v="1"/>
    <n v="3"/>
    <x v="7"/>
    <x v="0"/>
  </r>
  <r>
    <s v="ORD-5884"/>
    <d v="2025-12-21T00:00:00"/>
    <s v="C2157"/>
    <s v="P1025"/>
    <n v="8"/>
    <n v="185.22"/>
    <x v="149"/>
    <n v="444.52799999999996"/>
    <x v="0"/>
    <n v="21"/>
    <x v="5"/>
    <x v="0"/>
  </r>
  <r>
    <s v="ORD-5885"/>
    <d v="2024-01-25T00:00:00"/>
    <s v="C2366"/>
    <s v="P1019"/>
    <n v="7"/>
    <n v="182.55"/>
    <x v="420"/>
    <n v="383.35499999999996"/>
    <x v="2"/>
    <n v="25"/>
    <x v="3"/>
    <x v="1"/>
  </r>
  <r>
    <s v="ORD-5886"/>
    <d v="2025-08-03T00:00:00"/>
    <s v="C2148"/>
    <s v="P1014"/>
    <n v="4"/>
    <n v="193.35"/>
    <x v="381"/>
    <n v="232.01999999999998"/>
    <x v="1"/>
    <n v="3"/>
    <x v="9"/>
    <x v="0"/>
  </r>
  <r>
    <s v="ORD-5887"/>
    <d v="2025-10-19T00:00:00"/>
    <s v="C2417"/>
    <s v="P1019"/>
    <n v="10"/>
    <n v="182.55"/>
    <x v="103"/>
    <n v="547.65"/>
    <x v="2"/>
    <n v="19"/>
    <x v="0"/>
    <x v="0"/>
  </r>
  <r>
    <s v="ORD-5888"/>
    <d v="2024-01-01T00:00:00"/>
    <s v="C2243"/>
    <s v="P1038"/>
    <n v="6"/>
    <n v="86.37"/>
    <x v="400"/>
    <n v="155.46600000000001"/>
    <x v="2"/>
    <n v="1"/>
    <x v="3"/>
    <x v="1"/>
  </r>
  <r>
    <s v="ORD-5889"/>
    <d v="2024-05-31T00:00:00"/>
    <s v="C2018"/>
    <s v="P1033"/>
    <n v="3"/>
    <n v="18.850000000000001"/>
    <x v="152"/>
    <n v="16.965"/>
    <x v="1"/>
    <n v="31"/>
    <x v="2"/>
    <x v="1"/>
  </r>
  <r>
    <s v="ORD-5890"/>
    <d v="2024-12-05T00:00:00"/>
    <s v="C2050"/>
    <s v="P1038"/>
    <n v="9"/>
    <n v="86.37"/>
    <x v="315"/>
    <n v="233.19900000000001"/>
    <x v="0"/>
    <n v="5"/>
    <x v="5"/>
    <x v="1"/>
  </r>
  <r>
    <s v="ORD-5891"/>
    <d v="2025-01-30T00:00:00"/>
    <s v="C2138"/>
    <s v="P1022"/>
    <n v="4"/>
    <n v="195.89"/>
    <x v="184"/>
    <n v="235.06799999999998"/>
    <x v="3"/>
    <n v="30"/>
    <x v="3"/>
    <x v="0"/>
  </r>
  <r>
    <s v="ORD-5892"/>
    <d v="2025-03-13T00:00:00"/>
    <s v="C2368"/>
    <s v="P1011"/>
    <n v="7"/>
    <n v="78.92"/>
    <x v="417"/>
    <n v="165.732"/>
    <x v="3"/>
    <n v="13"/>
    <x v="1"/>
    <x v="0"/>
  </r>
  <r>
    <s v="ORD-5893"/>
    <d v="2025-01-06T00:00:00"/>
    <s v="C2380"/>
    <s v="P1047"/>
    <n v="9"/>
    <n v="118.95"/>
    <x v="179"/>
    <n v="321.16499999999996"/>
    <x v="0"/>
    <n v="6"/>
    <x v="3"/>
    <x v="0"/>
  </r>
  <r>
    <s v="ORD-5894"/>
    <d v="2025-12-01T00:00:00"/>
    <s v="C2121"/>
    <s v="P1039"/>
    <n v="4"/>
    <n v="103.45"/>
    <x v="353"/>
    <n v="124.14"/>
    <x v="0"/>
    <n v="1"/>
    <x v="5"/>
    <x v="0"/>
  </r>
  <r>
    <s v="ORD-5895"/>
    <d v="2025-02-07T00:00:00"/>
    <s v="C2217"/>
    <s v="P1011"/>
    <n v="5"/>
    <n v="78.92"/>
    <x v="129"/>
    <n v="118.38"/>
    <x v="0"/>
    <n v="7"/>
    <x v="4"/>
    <x v="0"/>
  </r>
  <r>
    <s v="ORD-5896"/>
    <d v="2024-11-22T00:00:00"/>
    <s v="C2178"/>
    <s v="P1001"/>
    <n v="2"/>
    <n v="108.19"/>
    <x v="190"/>
    <n v="64.914000000000001"/>
    <x v="3"/>
    <n v="22"/>
    <x v="10"/>
    <x v="1"/>
  </r>
  <r>
    <s v="ORD-5897"/>
    <d v="2025-04-13T00:00:00"/>
    <s v="C2250"/>
    <s v="P1043"/>
    <n v="6"/>
    <n v="17.22"/>
    <x v="421"/>
    <n v="30.995999999999995"/>
    <x v="2"/>
    <n v="13"/>
    <x v="6"/>
    <x v="0"/>
  </r>
  <r>
    <s v="ORD-5898"/>
    <d v="2024-10-02T00:00:00"/>
    <s v="C2044"/>
    <s v="P1003"/>
    <n v="4"/>
    <n v="29.47"/>
    <x v="259"/>
    <n v="35.363999999999997"/>
    <x v="2"/>
    <n v="2"/>
    <x v="0"/>
    <x v="1"/>
  </r>
  <r>
    <s v="ORD-5899"/>
    <d v="2024-05-31T00:00:00"/>
    <s v="C2153"/>
    <s v="P1048"/>
    <n v="1"/>
    <n v="20.28"/>
    <x v="268"/>
    <n v="6.0840000000000005"/>
    <x v="3"/>
    <n v="31"/>
    <x v="2"/>
    <x v="1"/>
  </r>
  <r>
    <s v="ORD-5900"/>
    <d v="2025-08-07T00:00:00"/>
    <s v="C2248"/>
    <s v="P1023"/>
    <n v="2"/>
    <n v="157.13"/>
    <x v="347"/>
    <n v="94.277999999999992"/>
    <x v="1"/>
    <n v="7"/>
    <x v="9"/>
    <x v="0"/>
  </r>
  <r>
    <s v="ORD-5901"/>
    <d v="2024-04-22T00:00:00"/>
    <s v="C2197"/>
    <s v="P1010"/>
    <n v="6"/>
    <n v="56.18"/>
    <x v="178"/>
    <n v="101.124"/>
    <x v="3"/>
    <n v="22"/>
    <x v="6"/>
    <x v="1"/>
  </r>
  <r>
    <s v="ORD-5902"/>
    <d v="2025-03-24T00:00:00"/>
    <s v="C2278"/>
    <s v="P1047"/>
    <n v="9"/>
    <n v="118.95"/>
    <x v="179"/>
    <n v="321.16499999999996"/>
    <x v="2"/>
    <n v="24"/>
    <x v="1"/>
    <x v="0"/>
  </r>
  <r>
    <s v="ORD-5903"/>
    <d v="2025-12-28T00:00:00"/>
    <s v="C2158"/>
    <s v="P1030"/>
    <n v="8"/>
    <n v="12.47"/>
    <x v="63"/>
    <n v="29.928000000000001"/>
    <x v="2"/>
    <n v="28"/>
    <x v="5"/>
    <x v="0"/>
  </r>
  <r>
    <s v="ORD-5904"/>
    <d v="2025-12-03T00:00:00"/>
    <s v="C2115"/>
    <s v="P1049"/>
    <n v="4"/>
    <n v="29.94"/>
    <x v="59"/>
    <n v="35.927999999999997"/>
    <x v="3"/>
    <n v="3"/>
    <x v="5"/>
    <x v="0"/>
  </r>
  <r>
    <s v="ORD-5905"/>
    <d v="2025-06-14T00:00:00"/>
    <s v="C2207"/>
    <s v="P1031"/>
    <n v="2"/>
    <n v="107.88"/>
    <x v="16"/>
    <n v="64.727999999999994"/>
    <x v="1"/>
    <n v="14"/>
    <x v="7"/>
    <x v="0"/>
  </r>
  <r>
    <s v="ORD-5906"/>
    <d v="2025-08-15T00:00:00"/>
    <s v="C2005"/>
    <s v="P1040"/>
    <n v="10"/>
    <n v="58.12"/>
    <x v="379"/>
    <n v="174.36"/>
    <x v="1"/>
    <n v="15"/>
    <x v="9"/>
    <x v="0"/>
  </r>
  <r>
    <s v="ORD-5907"/>
    <d v="2025-01-27T00:00:00"/>
    <s v="C2177"/>
    <s v="P1050"/>
    <n v="5"/>
    <n v="48.76"/>
    <x v="46"/>
    <n v="73.14"/>
    <x v="0"/>
    <n v="27"/>
    <x v="3"/>
    <x v="0"/>
  </r>
  <r>
    <s v="ORD-5908"/>
    <d v="2024-04-18T00:00:00"/>
    <s v="C2242"/>
    <s v="P1007"/>
    <n v="9"/>
    <n v="162.96"/>
    <x v="31"/>
    <n v="439.99200000000002"/>
    <x v="1"/>
    <n v="18"/>
    <x v="6"/>
    <x v="1"/>
  </r>
  <r>
    <s v="ORD-5909"/>
    <d v="2024-09-17T00:00:00"/>
    <s v="C2347"/>
    <s v="P1009"/>
    <n v="7"/>
    <n v="134.61000000000001"/>
    <x v="276"/>
    <n v="282.68099999999998"/>
    <x v="2"/>
    <n v="17"/>
    <x v="11"/>
    <x v="1"/>
  </r>
  <r>
    <s v="ORD-5910"/>
    <d v="2025-09-24T00:00:00"/>
    <s v="C2028"/>
    <s v="P1029"/>
    <n v="9"/>
    <n v="162.21"/>
    <x v="27"/>
    <n v="437.96700000000004"/>
    <x v="1"/>
    <n v="24"/>
    <x v="11"/>
    <x v="0"/>
  </r>
  <r>
    <s v="ORD-5911"/>
    <d v="2025-05-31T00:00:00"/>
    <s v="C2293"/>
    <s v="P1015"/>
    <n v="2"/>
    <n v="52.45"/>
    <x v="68"/>
    <n v="31.47"/>
    <x v="1"/>
    <n v="31"/>
    <x v="2"/>
    <x v="0"/>
  </r>
  <r>
    <s v="ORD-5912"/>
    <d v="2025-08-24T00:00:00"/>
    <s v="C2114"/>
    <s v="P1005"/>
    <n v="7"/>
    <n v="74.61"/>
    <x v="121"/>
    <n v="156.68099999999998"/>
    <x v="2"/>
    <n v="24"/>
    <x v="9"/>
    <x v="0"/>
  </r>
  <r>
    <s v="ORD-5913"/>
    <d v="2024-05-10T00:00:00"/>
    <s v="C2326"/>
    <s v="P1015"/>
    <n v="6"/>
    <n v="52.45"/>
    <x v="116"/>
    <n v="94.41"/>
    <x v="1"/>
    <n v="10"/>
    <x v="2"/>
    <x v="1"/>
  </r>
  <r>
    <s v="ORD-5914"/>
    <d v="2025-08-05T00:00:00"/>
    <s v="C2223"/>
    <s v="P1008"/>
    <n v="3"/>
    <n v="68.41"/>
    <x v="60"/>
    <n v="61.568999999999996"/>
    <x v="3"/>
    <n v="5"/>
    <x v="9"/>
    <x v="0"/>
  </r>
  <r>
    <s v="ORD-5915"/>
    <d v="2025-02-20T00:00:00"/>
    <s v="C2114"/>
    <s v="P1035"/>
    <n v="7"/>
    <n v="176.31"/>
    <x v="383"/>
    <n v="370.25100000000003"/>
    <x v="1"/>
    <n v="20"/>
    <x v="4"/>
    <x v="0"/>
  </r>
  <r>
    <s v="ORD-5916"/>
    <d v="2024-04-04T00:00:00"/>
    <s v="C2384"/>
    <s v="P1046"/>
    <n v="6"/>
    <n v="89.24"/>
    <x v="422"/>
    <n v="160.63200000000001"/>
    <x v="2"/>
    <n v="4"/>
    <x v="6"/>
    <x v="1"/>
  </r>
  <r>
    <s v="ORD-5917"/>
    <d v="2025-09-16T00:00:00"/>
    <s v="C2349"/>
    <s v="P1037"/>
    <n v="9"/>
    <n v="49.95"/>
    <x v="208"/>
    <n v="134.86500000000001"/>
    <x v="1"/>
    <n v="16"/>
    <x v="11"/>
    <x v="0"/>
  </r>
  <r>
    <s v="ORD-5918"/>
    <d v="2024-08-29T00:00:00"/>
    <s v="C2008"/>
    <s v="P1004"/>
    <n v="10"/>
    <n v="28.55"/>
    <x v="368"/>
    <n v="85.649999999999991"/>
    <x v="3"/>
    <n v="29"/>
    <x v="9"/>
    <x v="1"/>
  </r>
  <r>
    <s v="ORD-5919"/>
    <d v="2024-04-29T00:00:00"/>
    <s v="C2286"/>
    <s v="P1023"/>
    <n v="5"/>
    <n v="157.13"/>
    <x v="117"/>
    <n v="235.69499999999999"/>
    <x v="2"/>
    <n v="29"/>
    <x v="6"/>
    <x v="1"/>
  </r>
  <r>
    <s v="ORD-5920"/>
    <d v="2024-03-21T00:00:00"/>
    <s v="C2061"/>
    <s v="P1024"/>
    <n v="10"/>
    <n v="180.47"/>
    <x v="423"/>
    <n v="541.41"/>
    <x v="1"/>
    <n v="21"/>
    <x v="1"/>
    <x v="1"/>
  </r>
  <r>
    <s v="ORD-5921"/>
    <d v="2025-10-08T00:00:00"/>
    <s v="C2440"/>
    <s v="P1044"/>
    <n v="5"/>
    <n v="104.84"/>
    <x v="138"/>
    <n v="157.26000000000002"/>
    <x v="1"/>
    <n v="8"/>
    <x v="0"/>
    <x v="0"/>
  </r>
  <r>
    <s v="ORD-5922"/>
    <d v="2025-12-22T00:00:00"/>
    <s v="C2260"/>
    <s v="P1035"/>
    <n v="10"/>
    <n v="176.31"/>
    <x v="424"/>
    <n v="528.92999999999995"/>
    <x v="0"/>
    <n v="22"/>
    <x v="5"/>
    <x v="0"/>
  </r>
  <r>
    <s v="ORD-5923"/>
    <d v="2024-08-11T00:00:00"/>
    <s v="C2241"/>
    <s v="P1009"/>
    <n v="7"/>
    <n v="134.61000000000001"/>
    <x v="276"/>
    <n v="282.68099999999998"/>
    <x v="1"/>
    <n v="11"/>
    <x v="9"/>
    <x v="1"/>
  </r>
  <r>
    <s v="ORD-5924"/>
    <d v="2025-05-07T00:00:00"/>
    <s v="C2480"/>
    <s v="P1040"/>
    <n v="2"/>
    <n v="58.12"/>
    <x v="286"/>
    <n v="34.872"/>
    <x v="0"/>
    <n v="7"/>
    <x v="2"/>
    <x v="0"/>
  </r>
  <r>
    <s v="ORD-5925"/>
    <d v="2025-04-07T00:00:00"/>
    <s v="C2315"/>
    <s v="P1034"/>
    <n v="8"/>
    <n v="41.45"/>
    <x v="122"/>
    <n v="99.48"/>
    <x v="1"/>
    <n v="7"/>
    <x v="6"/>
    <x v="0"/>
  </r>
  <r>
    <s v="ORD-5926"/>
    <d v="2025-05-01T00:00:00"/>
    <s v="C2164"/>
    <s v="P1012"/>
    <n v="1"/>
    <n v="112.61"/>
    <x v="425"/>
    <n v="33.783000000000001"/>
    <x v="2"/>
    <n v="1"/>
    <x v="2"/>
    <x v="0"/>
  </r>
  <r>
    <s v="ORD-5927"/>
    <d v="2024-09-19T00:00:00"/>
    <s v="C2154"/>
    <s v="P1045"/>
    <n v="10"/>
    <n v="115.1"/>
    <x v="264"/>
    <n v="345.3"/>
    <x v="3"/>
    <n v="19"/>
    <x v="11"/>
    <x v="1"/>
  </r>
  <r>
    <s v="ORD-5928"/>
    <d v="2024-11-10T00:00:00"/>
    <s v="C2299"/>
    <s v="P1048"/>
    <n v="7"/>
    <n v="20.28"/>
    <x v="220"/>
    <n v="42.588000000000001"/>
    <x v="0"/>
    <n v="10"/>
    <x v="10"/>
    <x v="1"/>
  </r>
  <r>
    <s v="ORD-5929"/>
    <d v="2025-12-03T00:00:00"/>
    <s v="C2480"/>
    <s v="P1050"/>
    <n v="9"/>
    <n v="48.76"/>
    <x v="210"/>
    <n v="131.65199999999999"/>
    <x v="1"/>
    <n v="3"/>
    <x v="5"/>
    <x v="0"/>
  </r>
  <r>
    <s v="ORD-5930"/>
    <d v="2025-10-27T00:00:00"/>
    <s v="C2170"/>
    <s v="P1001"/>
    <n v="9"/>
    <n v="108.19"/>
    <x v="106"/>
    <n v="292.113"/>
    <x v="2"/>
    <n v="27"/>
    <x v="0"/>
    <x v="0"/>
  </r>
  <r>
    <s v="ORD-5931"/>
    <d v="2025-10-06T00:00:00"/>
    <s v="C2357"/>
    <s v="P1048"/>
    <n v="1"/>
    <n v="20.28"/>
    <x v="268"/>
    <n v="6.0840000000000005"/>
    <x v="3"/>
    <n v="6"/>
    <x v="0"/>
    <x v="0"/>
  </r>
  <r>
    <s v="ORD-5932"/>
    <d v="2025-12-15T00:00:00"/>
    <s v="C2472"/>
    <s v="P1039"/>
    <n v="3"/>
    <n v="103.45"/>
    <x v="253"/>
    <n v="93.105000000000004"/>
    <x v="3"/>
    <n v="15"/>
    <x v="5"/>
    <x v="0"/>
  </r>
  <r>
    <s v="ORD-5933"/>
    <d v="2024-01-30T00:00:00"/>
    <s v="C2311"/>
    <s v="P1002"/>
    <n v="2"/>
    <n v="89.88"/>
    <x v="206"/>
    <n v="53.927999999999997"/>
    <x v="0"/>
    <n v="30"/>
    <x v="3"/>
    <x v="1"/>
  </r>
  <r>
    <s v="ORD-5934"/>
    <d v="2024-12-29T00:00:00"/>
    <s v="C2370"/>
    <s v="P1029"/>
    <n v="10"/>
    <n v="162.21"/>
    <x v="45"/>
    <n v="486.62999999999994"/>
    <x v="1"/>
    <n v="29"/>
    <x v="5"/>
    <x v="1"/>
  </r>
  <r>
    <s v="ORD-5935"/>
    <d v="2024-05-10T00:00:00"/>
    <s v="C2229"/>
    <s v="P1031"/>
    <n v="2"/>
    <n v="107.88"/>
    <x v="16"/>
    <n v="64.727999999999994"/>
    <x v="3"/>
    <n v="10"/>
    <x v="2"/>
    <x v="1"/>
  </r>
  <r>
    <s v="ORD-5936"/>
    <d v="2024-03-17T00:00:00"/>
    <s v="C2432"/>
    <s v="P1041"/>
    <n v="6"/>
    <n v="28.49"/>
    <x v="334"/>
    <n v="51.281999999999996"/>
    <x v="3"/>
    <n v="17"/>
    <x v="1"/>
    <x v="1"/>
  </r>
  <r>
    <s v="ORD-5937"/>
    <d v="2024-09-19T00:00:00"/>
    <s v="C2166"/>
    <s v="P1013"/>
    <n v="7"/>
    <n v="91.3"/>
    <x v="270"/>
    <n v="191.73"/>
    <x v="0"/>
    <n v="19"/>
    <x v="11"/>
    <x v="1"/>
  </r>
  <r>
    <s v="ORD-5938"/>
    <d v="2025-11-06T00:00:00"/>
    <s v="C2425"/>
    <s v="P1009"/>
    <n v="8"/>
    <n v="134.61000000000001"/>
    <x v="365"/>
    <n v="323.06400000000002"/>
    <x v="2"/>
    <n v="6"/>
    <x v="10"/>
    <x v="0"/>
  </r>
  <r>
    <s v="ORD-5939"/>
    <d v="2024-11-29T00:00:00"/>
    <s v="C2064"/>
    <s v="P1029"/>
    <n v="8"/>
    <n v="162.21"/>
    <x v="426"/>
    <n v="389.30400000000003"/>
    <x v="3"/>
    <n v="29"/>
    <x v="10"/>
    <x v="1"/>
  </r>
  <r>
    <s v="ORD-5940"/>
    <d v="2025-11-25T00:00:00"/>
    <s v="C2346"/>
    <s v="P1027"/>
    <n v="4"/>
    <n v="134.32"/>
    <x v="395"/>
    <n v="161.184"/>
    <x v="3"/>
    <n v="25"/>
    <x v="10"/>
    <x v="0"/>
  </r>
  <r>
    <s v="ORD-5941"/>
    <d v="2024-09-10T00:00:00"/>
    <s v="C2009"/>
    <s v="P1013"/>
    <n v="6"/>
    <n v="91.3"/>
    <x v="108"/>
    <n v="164.33999999999997"/>
    <x v="1"/>
    <n v="10"/>
    <x v="11"/>
    <x v="1"/>
  </r>
  <r>
    <s v="ORD-5942"/>
    <d v="2025-02-26T00:00:00"/>
    <s v="C2319"/>
    <s v="P1029"/>
    <n v="6"/>
    <n v="162.21"/>
    <x v="115"/>
    <n v="291.97800000000001"/>
    <x v="2"/>
    <n v="26"/>
    <x v="4"/>
    <x v="0"/>
  </r>
  <r>
    <s v="ORD-5943"/>
    <d v="2024-11-24T00:00:00"/>
    <s v="C2108"/>
    <s v="P1007"/>
    <n v="9"/>
    <n v="162.96"/>
    <x v="31"/>
    <n v="439.99200000000002"/>
    <x v="0"/>
    <n v="24"/>
    <x v="10"/>
    <x v="1"/>
  </r>
  <r>
    <s v="ORD-5944"/>
    <d v="2025-03-09T00:00:00"/>
    <s v="C2219"/>
    <s v="P1012"/>
    <n v="2"/>
    <n v="112.61"/>
    <x v="75"/>
    <n v="67.566000000000003"/>
    <x v="0"/>
    <n v="9"/>
    <x v="1"/>
    <x v="0"/>
  </r>
  <r>
    <s v="ORD-5945"/>
    <d v="2025-11-14T00:00:00"/>
    <s v="C2027"/>
    <s v="P1018"/>
    <n v="7"/>
    <n v="38.93"/>
    <x v="163"/>
    <n v="81.753"/>
    <x v="2"/>
    <n v="14"/>
    <x v="10"/>
    <x v="0"/>
  </r>
  <r>
    <s v="ORD-5946"/>
    <d v="2024-08-20T00:00:00"/>
    <s v="C2359"/>
    <s v="P1011"/>
    <n v="10"/>
    <n v="78.92"/>
    <x v="266"/>
    <n v="236.76"/>
    <x v="2"/>
    <n v="20"/>
    <x v="9"/>
    <x v="1"/>
  </r>
  <r>
    <s v="ORD-5947"/>
    <d v="2024-02-27T00:00:00"/>
    <s v="C2421"/>
    <s v="P1017"/>
    <n v="1"/>
    <n v="60.32"/>
    <x v="377"/>
    <n v="18.096"/>
    <x v="3"/>
    <n v="27"/>
    <x v="4"/>
    <x v="1"/>
  </r>
  <r>
    <s v="ORD-5948"/>
    <d v="2024-04-28T00:00:00"/>
    <s v="C2411"/>
    <s v="P1014"/>
    <n v="9"/>
    <n v="193.35"/>
    <x v="427"/>
    <n v="522.04499999999996"/>
    <x v="1"/>
    <n v="28"/>
    <x v="6"/>
    <x v="1"/>
  </r>
  <r>
    <s v="ORD-5949"/>
    <d v="2025-06-02T00:00:00"/>
    <s v="C2256"/>
    <s v="P1041"/>
    <n v="2"/>
    <n v="28.49"/>
    <x v="40"/>
    <n v="17.093999999999998"/>
    <x v="3"/>
    <n v="2"/>
    <x v="7"/>
    <x v="0"/>
  </r>
  <r>
    <s v="ORD-5950"/>
    <d v="2025-06-17T00:00:00"/>
    <s v="C2130"/>
    <s v="P1024"/>
    <n v="6"/>
    <n v="180.47"/>
    <x v="130"/>
    <n v="324.84599999999995"/>
    <x v="2"/>
    <n v="17"/>
    <x v="7"/>
    <x v="0"/>
  </r>
  <r>
    <s v="ORD-5951"/>
    <d v="2024-03-06T00:00:00"/>
    <s v="C2265"/>
    <s v="P1002"/>
    <n v="9"/>
    <n v="89.88"/>
    <x v="366"/>
    <n v="242.67599999999999"/>
    <x v="0"/>
    <n v="6"/>
    <x v="1"/>
    <x v="1"/>
  </r>
  <r>
    <s v="ORD-5952"/>
    <d v="2025-01-31T00:00:00"/>
    <s v="C2393"/>
    <s v="P1002"/>
    <n v="7"/>
    <n v="89.88"/>
    <x v="428"/>
    <n v="188.74799999999999"/>
    <x v="1"/>
    <n v="31"/>
    <x v="3"/>
    <x v="0"/>
  </r>
  <r>
    <s v="ORD-5953"/>
    <d v="2024-12-07T00:00:00"/>
    <s v="C2058"/>
    <s v="P1033"/>
    <n v="2"/>
    <n v="18.850000000000001"/>
    <x v="165"/>
    <n v="11.31"/>
    <x v="0"/>
    <n v="7"/>
    <x v="5"/>
    <x v="1"/>
  </r>
  <r>
    <s v="ORD-5954"/>
    <d v="2024-11-14T00:00:00"/>
    <s v="C2470"/>
    <s v="P1008"/>
    <n v="2"/>
    <n v="68.41"/>
    <x v="411"/>
    <n v="41.045999999999999"/>
    <x v="3"/>
    <n v="14"/>
    <x v="10"/>
    <x v="1"/>
  </r>
  <r>
    <s v="ORD-5955"/>
    <d v="2025-02-14T00:00:00"/>
    <s v="C2461"/>
    <s v="P1041"/>
    <n v="1"/>
    <n v="28.49"/>
    <x v="104"/>
    <n v="8.5469999999999988"/>
    <x v="3"/>
    <n v="14"/>
    <x v="4"/>
    <x v="0"/>
  </r>
  <r>
    <s v="ORD-5956"/>
    <d v="2024-08-02T00:00:00"/>
    <s v="C2174"/>
    <s v="P1041"/>
    <n v="5"/>
    <n v="28.49"/>
    <x v="229"/>
    <n v="42.734999999999992"/>
    <x v="0"/>
    <n v="2"/>
    <x v="9"/>
    <x v="1"/>
  </r>
  <r>
    <s v="ORD-5957"/>
    <d v="2024-04-08T00:00:00"/>
    <s v="C2251"/>
    <s v="P1015"/>
    <n v="6"/>
    <n v="52.45"/>
    <x v="116"/>
    <n v="94.41"/>
    <x v="1"/>
    <n v="8"/>
    <x v="6"/>
    <x v="1"/>
  </r>
  <r>
    <s v="ORD-5958"/>
    <d v="2025-02-04T00:00:00"/>
    <s v="C2426"/>
    <s v="P1043"/>
    <n v="9"/>
    <n v="17.22"/>
    <x v="429"/>
    <n v="46.493999999999993"/>
    <x v="0"/>
    <n v="4"/>
    <x v="4"/>
    <x v="0"/>
  </r>
  <r>
    <s v="ORD-5959"/>
    <d v="2025-11-17T00:00:00"/>
    <s v="C2427"/>
    <s v="P1050"/>
    <n v="5"/>
    <n v="48.76"/>
    <x v="46"/>
    <n v="73.14"/>
    <x v="2"/>
    <n v="17"/>
    <x v="10"/>
    <x v="0"/>
  </r>
  <r>
    <s v="ORD-5960"/>
    <d v="2025-02-18T00:00:00"/>
    <s v="C2090"/>
    <s v="P1020"/>
    <n v="1"/>
    <n v="24.62"/>
    <x v="245"/>
    <n v="7.3860000000000001"/>
    <x v="1"/>
    <n v="18"/>
    <x v="4"/>
    <x v="0"/>
  </r>
  <r>
    <s v="ORD-5961"/>
    <d v="2025-09-25T00:00:00"/>
    <s v="C2052"/>
    <s v="P1016"/>
    <n v="6"/>
    <n v="34.369999999999997"/>
    <x v="140"/>
    <n v="61.866"/>
    <x v="0"/>
    <n v="25"/>
    <x v="11"/>
    <x v="0"/>
  </r>
  <r>
    <s v="ORD-5962"/>
    <d v="2025-01-30T00:00:00"/>
    <s v="C2277"/>
    <s v="P1015"/>
    <n v="3"/>
    <n v="52.45"/>
    <x v="313"/>
    <n v="47.204999999999998"/>
    <x v="3"/>
    <n v="30"/>
    <x v="3"/>
    <x v="0"/>
  </r>
  <r>
    <s v="ORD-5963"/>
    <d v="2025-10-17T00:00:00"/>
    <s v="C2099"/>
    <s v="P1018"/>
    <n v="2"/>
    <n v="38.93"/>
    <x v="322"/>
    <n v="23.358000000000001"/>
    <x v="0"/>
    <n v="17"/>
    <x v="0"/>
    <x v="0"/>
  </r>
  <r>
    <s v="ORD-5964"/>
    <d v="2025-01-29T00:00:00"/>
    <s v="C2057"/>
    <s v="P1025"/>
    <n v="10"/>
    <n v="185.22"/>
    <x v="2"/>
    <n v="555.66"/>
    <x v="0"/>
    <n v="29"/>
    <x v="3"/>
    <x v="0"/>
  </r>
  <r>
    <s v="ORD-5965"/>
    <d v="2024-09-26T00:00:00"/>
    <s v="C2467"/>
    <s v="P1024"/>
    <n v="5"/>
    <n v="180.47"/>
    <x v="65"/>
    <n v="270.70499999999998"/>
    <x v="1"/>
    <n v="26"/>
    <x v="11"/>
    <x v="1"/>
  </r>
  <r>
    <s v="ORD-5966"/>
    <d v="2024-05-20T00:00:00"/>
    <s v="C2194"/>
    <s v="P1043"/>
    <n v="2"/>
    <n v="17.22"/>
    <x v="258"/>
    <n v="10.331999999999999"/>
    <x v="0"/>
    <n v="20"/>
    <x v="2"/>
    <x v="1"/>
  </r>
  <r>
    <s v="ORD-5967"/>
    <d v="2024-08-30T00:00:00"/>
    <s v="C2477"/>
    <s v="P1032"/>
    <n v="10"/>
    <n v="52.52"/>
    <x v="430"/>
    <n v="157.56"/>
    <x v="2"/>
    <n v="30"/>
    <x v="9"/>
    <x v="1"/>
  </r>
  <r>
    <s v="ORD-5968"/>
    <d v="2025-06-01T00:00:00"/>
    <s v="C2485"/>
    <s v="P1035"/>
    <n v="5"/>
    <n v="176.31"/>
    <x v="431"/>
    <n v="264.46499999999997"/>
    <x v="0"/>
    <n v="1"/>
    <x v="7"/>
    <x v="0"/>
  </r>
  <r>
    <s v="ORD-5969"/>
    <d v="2024-02-16T00:00:00"/>
    <s v="C2345"/>
    <s v="P1029"/>
    <n v="2"/>
    <n v="162.21"/>
    <x v="212"/>
    <n v="97.326000000000008"/>
    <x v="3"/>
    <n v="16"/>
    <x v="4"/>
    <x v="1"/>
  </r>
  <r>
    <s v="ORD-5970"/>
    <d v="2024-04-02T00:00:00"/>
    <s v="C2236"/>
    <s v="P1015"/>
    <n v="3"/>
    <n v="52.45"/>
    <x v="313"/>
    <n v="47.204999999999998"/>
    <x v="0"/>
    <n v="2"/>
    <x v="6"/>
    <x v="1"/>
  </r>
  <r>
    <s v="ORD-5971"/>
    <d v="2024-03-19T00:00:00"/>
    <s v="C2025"/>
    <s v="P1021"/>
    <n v="2"/>
    <n v="165.9"/>
    <x v="23"/>
    <n v="99.54"/>
    <x v="1"/>
    <n v="19"/>
    <x v="1"/>
    <x v="1"/>
  </r>
  <r>
    <s v="ORD-5972"/>
    <d v="2025-06-22T00:00:00"/>
    <s v="C2183"/>
    <s v="P1002"/>
    <n v="9"/>
    <n v="89.88"/>
    <x v="366"/>
    <n v="242.67599999999999"/>
    <x v="0"/>
    <n v="22"/>
    <x v="7"/>
    <x v="0"/>
  </r>
  <r>
    <s v="ORD-5973"/>
    <d v="2025-01-19T00:00:00"/>
    <s v="C2316"/>
    <s v="P1006"/>
    <n v="1"/>
    <n v="17.64"/>
    <x v="78"/>
    <n v="5.2919999999999998"/>
    <x v="1"/>
    <n v="19"/>
    <x v="3"/>
    <x v="0"/>
  </r>
  <r>
    <s v="ORD-5974"/>
    <d v="2024-10-16T00:00:00"/>
    <s v="C2337"/>
    <s v="P1013"/>
    <n v="9"/>
    <n v="91.3"/>
    <x v="358"/>
    <n v="246.51"/>
    <x v="3"/>
    <n v="16"/>
    <x v="0"/>
    <x v="1"/>
  </r>
  <r>
    <s v="ORD-5975"/>
    <d v="2024-03-06T00:00:00"/>
    <s v="C2327"/>
    <s v="P1030"/>
    <n v="9"/>
    <n v="12.47"/>
    <x v="148"/>
    <n v="33.668999999999997"/>
    <x v="3"/>
    <n v="6"/>
    <x v="1"/>
    <x v="1"/>
  </r>
  <r>
    <s v="ORD-5976"/>
    <d v="2024-11-18T00:00:00"/>
    <s v="C2156"/>
    <s v="P1006"/>
    <n v="1"/>
    <n v="17.64"/>
    <x v="78"/>
    <n v="5.2919999999999998"/>
    <x v="3"/>
    <n v="18"/>
    <x v="10"/>
    <x v="1"/>
  </r>
  <r>
    <s v="ORD-5977"/>
    <d v="2024-07-27T00:00:00"/>
    <s v="C2253"/>
    <s v="P1035"/>
    <n v="4"/>
    <n v="176.31"/>
    <x v="226"/>
    <n v="211.572"/>
    <x v="1"/>
    <n v="27"/>
    <x v="8"/>
    <x v="1"/>
  </r>
  <r>
    <s v="ORD-5978"/>
    <d v="2024-07-04T00:00:00"/>
    <s v="C2343"/>
    <s v="P1023"/>
    <n v="3"/>
    <n v="157.13"/>
    <x v="67"/>
    <n v="141.417"/>
    <x v="1"/>
    <n v="4"/>
    <x v="8"/>
    <x v="1"/>
  </r>
  <r>
    <s v="ORD-5979"/>
    <d v="2025-08-20T00:00:00"/>
    <s v="C2454"/>
    <s v="P1048"/>
    <n v="6"/>
    <n v="20.28"/>
    <x v="202"/>
    <n v="36.503999999999998"/>
    <x v="3"/>
    <n v="20"/>
    <x v="9"/>
    <x v="0"/>
  </r>
  <r>
    <s v="ORD-5980"/>
    <d v="2024-03-03T00:00:00"/>
    <s v="C2157"/>
    <s v="P1040"/>
    <n v="8"/>
    <n v="58.12"/>
    <x v="308"/>
    <n v="139.488"/>
    <x v="1"/>
    <n v="3"/>
    <x v="1"/>
    <x v="1"/>
  </r>
  <r>
    <s v="ORD-5981"/>
    <d v="2025-08-10T00:00:00"/>
    <s v="C2339"/>
    <s v="P1017"/>
    <n v="5"/>
    <n v="60.32"/>
    <x v="53"/>
    <n v="90.48"/>
    <x v="3"/>
    <n v="10"/>
    <x v="9"/>
    <x v="0"/>
  </r>
  <r>
    <s v="ORD-5982"/>
    <d v="2025-02-06T00:00:00"/>
    <s v="C2018"/>
    <s v="P1044"/>
    <n v="10"/>
    <n v="104.84"/>
    <x v="81"/>
    <n v="314.52000000000004"/>
    <x v="2"/>
    <n v="6"/>
    <x v="4"/>
    <x v="0"/>
  </r>
  <r>
    <s v="ORD-5983"/>
    <d v="2024-07-22T00:00:00"/>
    <s v="C2178"/>
    <s v="P1042"/>
    <n v="6"/>
    <n v="35.03"/>
    <x v="242"/>
    <n v="63.054000000000002"/>
    <x v="1"/>
    <n v="22"/>
    <x v="8"/>
    <x v="1"/>
  </r>
  <r>
    <s v="ORD-5984"/>
    <d v="2025-11-27T00:00:00"/>
    <s v="C2049"/>
    <s v="P1012"/>
    <n v="1"/>
    <n v="112.61"/>
    <x v="425"/>
    <n v="33.783000000000001"/>
    <x v="1"/>
    <n v="27"/>
    <x v="10"/>
    <x v="0"/>
  </r>
  <r>
    <s v="ORD-5985"/>
    <d v="2025-11-28T00:00:00"/>
    <s v="C2126"/>
    <s v="P1022"/>
    <n v="6"/>
    <n v="195.89"/>
    <x v="333"/>
    <n v="352.60199999999998"/>
    <x v="1"/>
    <n v="28"/>
    <x v="10"/>
    <x v="0"/>
  </r>
  <r>
    <s v="ORD-5986"/>
    <d v="2024-04-26T00:00:00"/>
    <s v="C2455"/>
    <s v="P1005"/>
    <n v="4"/>
    <n v="74.61"/>
    <x v="155"/>
    <n v="89.531999999999996"/>
    <x v="0"/>
    <n v="26"/>
    <x v="6"/>
    <x v="1"/>
  </r>
  <r>
    <s v="ORD-5987"/>
    <d v="2024-11-28T00:00:00"/>
    <s v="C2267"/>
    <s v="P1016"/>
    <n v="2"/>
    <n v="34.369999999999997"/>
    <x v="261"/>
    <n v="20.621999999999996"/>
    <x v="3"/>
    <n v="28"/>
    <x v="10"/>
    <x v="1"/>
  </r>
  <r>
    <s v="ORD-5988"/>
    <d v="2025-10-13T00:00:00"/>
    <s v="C2213"/>
    <s v="P1022"/>
    <n v="7"/>
    <n v="195.89"/>
    <x v="325"/>
    <n v="411.36899999999997"/>
    <x v="3"/>
    <n v="13"/>
    <x v="0"/>
    <x v="0"/>
  </r>
  <r>
    <s v="ORD-5989"/>
    <d v="2025-07-31T00:00:00"/>
    <s v="C2176"/>
    <s v="P1046"/>
    <n v="5"/>
    <n v="89.24"/>
    <x v="153"/>
    <n v="133.85999999999999"/>
    <x v="3"/>
    <n v="31"/>
    <x v="8"/>
    <x v="0"/>
  </r>
  <r>
    <s v="ORD-5990"/>
    <d v="2025-05-24T00:00:00"/>
    <s v="C2014"/>
    <s v="P1001"/>
    <n v="8"/>
    <n v="108.19"/>
    <x v="291"/>
    <n v="259.65600000000001"/>
    <x v="2"/>
    <n v="24"/>
    <x v="2"/>
    <x v="0"/>
  </r>
  <r>
    <s v="ORD-5991"/>
    <d v="2024-10-26T00:00:00"/>
    <s v="C2183"/>
    <s v="P1044"/>
    <n v="1"/>
    <n v="104.84"/>
    <x v="189"/>
    <n v="31.451999999999998"/>
    <x v="1"/>
    <n v="26"/>
    <x v="0"/>
    <x v="1"/>
  </r>
  <r>
    <s v="ORD-5992"/>
    <d v="2024-07-30T00:00:00"/>
    <s v="C2455"/>
    <s v="P1039"/>
    <n v="1"/>
    <n v="103.45"/>
    <x v="340"/>
    <n v="31.035"/>
    <x v="0"/>
    <n v="30"/>
    <x v="8"/>
    <x v="1"/>
  </r>
  <r>
    <s v="ORD-5993"/>
    <d v="2025-03-26T00:00:00"/>
    <s v="C2064"/>
    <s v="P1043"/>
    <n v="6"/>
    <n v="17.22"/>
    <x v="421"/>
    <n v="30.995999999999995"/>
    <x v="0"/>
    <n v="26"/>
    <x v="1"/>
    <x v="0"/>
  </r>
  <r>
    <s v="ORD-5994"/>
    <d v="2025-10-02T00:00:00"/>
    <s v="C2446"/>
    <s v="P1044"/>
    <n v="6"/>
    <n v="104.84"/>
    <x v="401"/>
    <n v="188.71199999999999"/>
    <x v="2"/>
    <n v="2"/>
    <x v="0"/>
    <x v="0"/>
  </r>
  <r>
    <s v="ORD-5995"/>
    <d v="2025-05-07T00:00:00"/>
    <s v="C2123"/>
    <s v="P1011"/>
    <n v="3"/>
    <n v="78.92"/>
    <x v="289"/>
    <n v="71.027999999999992"/>
    <x v="2"/>
    <n v="7"/>
    <x v="2"/>
    <x v="0"/>
  </r>
  <r>
    <s v="ORD-5996"/>
    <d v="2025-01-16T00:00:00"/>
    <s v="C2462"/>
    <s v="P1009"/>
    <n v="9"/>
    <n v="134.61000000000001"/>
    <x v="243"/>
    <n v="363.447"/>
    <x v="2"/>
    <n v="16"/>
    <x v="3"/>
    <x v="0"/>
  </r>
  <r>
    <s v="ORD-5997"/>
    <d v="2025-01-08T00:00:00"/>
    <s v="C2296"/>
    <s v="P1040"/>
    <n v="5"/>
    <n v="58.12"/>
    <x v="254"/>
    <n v="87.18"/>
    <x v="3"/>
    <n v="8"/>
    <x v="3"/>
    <x v="0"/>
  </r>
  <r>
    <s v="ORD-5998"/>
    <d v="2024-06-28T00:00:00"/>
    <s v="C2077"/>
    <s v="P1015"/>
    <n v="10"/>
    <n v="52.45"/>
    <x v="285"/>
    <n v="157.35"/>
    <x v="1"/>
    <n v="28"/>
    <x v="7"/>
    <x v="1"/>
  </r>
  <r>
    <s v="ORD-5999"/>
    <d v="2025-01-14T00:00:00"/>
    <s v="C2106"/>
    <s v="P1034"/>
    <n v="8"/>
    <n v="41.45"/>
    <x v="122"/>
    <n v="99.48"/>
    <x v="0"/>
    <n v="14"/>
    <x v="3"/>
    <x v="0"/>
  </r>
  <r>
    <s v="ORD-6000"/>
    <d v="2024-02-16T00:00:00"/>
    <s v="C2353"/>
    <s v="P1004"/>
    <n v="4"/>
    <n v="28.55"/>
    <x v="73"/>
    <n v="34.26"/>
    <x v="3"/>
    <n v="16"/>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70976A-B102-4364-A9EC-2D7A4239DFE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9:O12" firstHeaderRow="1" firstDataRow="1" firstDataCol="1"/>
  <pivotFields count="12">
    <pivotField showAll="0"/>
    <pivotField numFmtId="22" showAll="0"/>
    <pivotField showAll="0"/>
    <pivotField showAll="0"/>
    <pivotField showAll="0"/>
    <pivotField showAll="0"/>
    <pivotField dataField="1" showAll="0"/>
    <pivotField showAll="0"/>
    <pivotField showAll="0">
      <items count="5">
        <item x="0"/>
        <item x="2"/>
        <item x="3"/>
        <item x="1"/>
        <item t="default"/>
      </items>
    </pivotField>
    <pivotField showAll="0"/>
    <pivotField showAll="0">
      <items count="13">
        <item x="3"/>
        <item x="4"/>
        <item x="1"/>
        <item x="6"/>
        <item x="2"/>
        <item x="7"/>
        <item x="8"/>
        <item x="9"/>
        <item x="11"/>
        <item x="0"/>
        <item x="10"/>
        <item x="5"/>
        <item t="default"/>
      </items>
    </pivotField>
    <pivotField axis="axisRow" showAll="0">
      <items count="3">
        <item x="1"/>
        <item x="0"/>
        <item t="default"/>
      </items>
    </pivotField>
  </pivotFields>
  <rowFields count="1">
    <field x="11"/>
  </rowFields>
  <rowItems count="3">
    <i>
      <x/>
    </i>
    <i>
      <x v="1"/>
    </i>
    <i t="grand">
      <x/>
    </i>
  </rowItems>
  <colItems count="1">
    <i/>
  </colItems>
  <dataFields count="1">
    <dataField name="Sum of TotalSale" fld="6"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8FF857-5522-4F3D-A745-83AADF6EDF3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H9:I21" firstHeaderRow="1" firstDataRow="1" firstDataCol="1"/>
  <pivotFields count="12">
    <pivotField showAll="0"/>
    <pivotField numFmtId="22" showAll="0"/>
    <pivotField showAll="0"/>
    <pivotField showAll="0"/>
    <pivotField showAll="0"/>
    <pivotField showAll="0"/>
    <pivotField dataField="1" showAll="0"/>
    <pivotField showAll="0"/>
    <pivotField showAll="0">
      <items count="5">
        <item x="0"/>
        <item x="2"/>
        <item x="3"/>
        <item x="1"/>
        <item t="default"/>
      </items>
    </pivotField>
    <pivotField showAll="0"/>
    <pivotField axis="axisRow" showAll="0">
      <items count="13">
        <item x="3"/>
        <item x="4"/>
        <item x="1"/>
        <item x="6"/>
        <item x="2"/>
        <item x="7"/>
        <item x="8"/>
        <item x="9"/>
        <item x="11"/>
        <item x="0"/>
        <item x="10"/>
        <item x="5"/>
        <item t="default"/>
      </items>
    </pivotField>
    <pivotField showAll="0">
      <items count="3">
        <item x="1"/>
        <item x="0"/>
        <item t="default"/>
      </items>
    </pivotField>
  </pivotFields>
  <rowFields count="1">
    <field x="10"/>
  </rowFields>
  <rowItems count="12">
    <i>
      <x/>
    </i>
    <i>
      <x v="1"/>
    </i>
    <i>
      <x v="2"/>
    </i>
    <i>
      <x v="3"/>
    </i>
    <i>
      <x v="4"/>
    </i>
    <i>
      <x v="5"/>
    </i>
    <i>
      <x v="6"/>
    </i>
    <i>
      <x v="7"/>
    </i>
    <i>
      <x v="8"/>
    </i>
    <i>
      <x v="9"/>
    </i>
    <i>
      <x v="10"/>
    </i>
    <i>
      <x v="11"/>
    </i>
  </rowItems>
  <colItems count="1">
    <i/>
  </colItems>
  <dataFields count="1">
    <dataField name="Sum of TotalSale" fld="6" baseField="0" baseItem="0"/>
  </dataFields>
  <chartFormats count="26">
    <chartFormat chart="14" format="0" series="1">
      <pivotArea type="data" outline="0" fieldPosition="0">
        <references count="1">
          <reference field="4294967294" count="1" selected="0">
            <x v="0"/>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10" count="1" selected="0">
            <x v="0"/>
          </reference>
        </references>
      </pivotArea>
    </chartFormat>
    <chartFormat chart="16" format="16">
      <pivotArea type="data" outline="0" fieldPosition="0">
        <references count="2">
          <reference field="4294967294" count="1" selected="0">
            <x v="0"/>
          </reference>
          <reference field="10" count="1" selected="0">
            <x v="1"/>
          </reference>
        </references>
      </pivotArea>
    </chartFormat>
    <chartFormat chart="16" format="17">
      <pivotArea type="data" outline="0" fieldPosition="0">
        <references count="2">
          <reference field="4294967294" count="1" selected="0">
            <x v="0"/>
          </reference>
          <reference field="10" count="1" selected="0">
            <x v="2"/>
          </reference>
        </references>
      </pivotArea>
    </chartFormat>
    <chartFormat chart="16" format="18">
      <pivotArea type="data" outline="0" fieldPosition="0">
        <references count="2">
          <reference field="4294967294" count="1" selected="0">
            <x v="0"/>
          </reference>
          <reference field="10" count="1" selected="0">
            <x v="3"/>
          </reference>
        </references>
      </pivotArea>
    </chartFormat>
    <chartFormat chart="16" format="19">
      <pivotArea type="data" outline="0" fieldPosition="0">
        <references count="2">
          <reference field="4294967294" count="1" selected="0">
            <x v="0"/>
          </reference>
          <reference field="10" count="1" selected="0">
            <x v="4"/>
          </reference>
        </references>
      </pivotArea>
    </chartFormat>
    <chartFormat chart="16" format="20">
      <pivotArea type="data" outline="0" fieldPosition="0">
        <references count="2">
          <reference field="4294967294" count="1" selected="0">
            <x v="0"/>
          </reference>
          <reference field="10" count="1" selected="0">
            <x v="5"/>
          </reference>
        </references>
      </pivotArea>
    </chartFormat>
    <chartFormat chart="16" format="21">
      <pivotArea type="data" outline="0" fieldPosition="0">
        <references count="2">
          <reference field="4294967294" count="1" selected="0">
            <x v="0"/>
          </reference>
          <reference field="10" count="1" selected="0">
            <x v="6"/>
          </reference>
        </references>
      </pivotArea>
    </chartFormat>
    <chartFormat chart="16" format="22">
      <pivotArea type="data" outline="0" fieldPosition="0">
        <references count="2">
          <reference field="4294967294" count="1" selected="0">
            <x v="0"/>
          </reference>
          <reference field="10" count="1" selected="0">
            <x v="7"/>
          </reference>
        </references>
      </pivotArea>
    </chartFormat>
    <chartFormat chart="16" format="23">
      <pivotArea type="data" outline="0" fieldPosition="0">
        <references count="2">
          <reference field="4294967294" count="1" selected="0">
            <x v="0"/>
          </reference>
          <reference field="10" count="1" selected="0">
            <x v="8"/>
          </reference>
        </references>
      </pivotArea>
    </chartFormat>
    <chartFormat chart="16" format="24">
      <pivotArea type="data" outline="0" fieldPosition="0">
        <references count="2">
          <reference field="4294967294" count="1" selected="0">
            <x v="0"/>
          </reference>
          <reference field="10" count="1" selected="0">
            <x v="9"/>
          </reference>
        </references>
      </pivotArea>
    </chartFormat>
    <chartFormat chart="16" format="25">
      <pivotArea type="data" outline="0" fieldPosition="0">
        <references count="2">
          <reference field="4294967294" count="1" selected="0">
            <x v="0"/>
          </reference>
          <reference field="10" count="1" selected="0">
            <x v="10"/>
          </reference>
        </references>
      </pivotArea>
    </chartFormat>
    <chartFormat chart="16" format="26">
      <pivotArea type="data" outline="0" fieldPosition="0">
        <references count="2">
          <reference field="4294967294" count="1" selected="0">
            <x v="0"/>
          </reference>
          <reference field="10" count="1" selected="0">
            <x v="11"/>
          </reference>
        </references>
      </pivotArea>
    </chartFormat>
    <chartFormat chart="14" format="13">
      <pivotArea type="data" outline="0" fieldPosition="0">
        <references count="2">
          <reference field="4294967294" count="1" selected="0">
            <x v="0"/>
          </reference>
          <reference field="10" count="1" selected="0">
            <x v="0"/>
          </reference>
        </references>
      </pivotArea>
    </chartFormat>
    <chartFormat chart="14" format="14">
      <pivotArea type="data" outline="0" fieldPosition="0">
        <references count="2">
          <reference field="4294967294" count="1" selected="0">
            <x v="0"/>
          </reference>
          <reference field="10" count="1" selected="0">
            <x v="1"/>
          </reference>
        </references>
      </pivotArea>
    </chartFormat>
    <chartFormat chart="14" format="15">
      <pivotArea type="data" outline="0" fieldPosition="0">
        <references count="2">
          <reference field="4294967294" count="1" selected="0">
            <x v="0"/>
          </reference>
          <reference field="10" count="1" selected="0">
            <x v="2"/>
          </reference>
        </references>
      </pivotArea>
    </chartFormat>
    <chartFormat chart="14" format="16">
      <pivotArea type="data" outline="0" fieldPosition="0">
        <references count="2">
          <reference field="4294967294" count="1" selected="0">
            <x v="0"/>
          </reference>
          <reference field="10" count="1" selected="0">
            <x v="3"/>
          </reference>
        </references>
      </pivotArea>
    </chartFormat>
    <chartFormat chart="14" format="17">
      <pivotArea type="data" outline="0" fieldPosition="0">
        <references count="2">
          <reference field="4294967294" count="1" selected="0">
            <x v="0"/>
          </reference>
          <reference field="10" count="1" selected="0">
            <x v="4"/>
          </reference>
        </references>
      </pivotArea>
    </chartFormat>
    <chartFormat chart="14" format="18">
      <pivotArea type="data" outline="0" fieldPosition="0">
        <references count="2">
          <reference field="4294967294" count="1" selected="0">
            <x v="0"/>
          </reference>
          <reference field="10" count="1" selected="0">
            <x v="5"/>
          </reference>
        </references>
      </pivotArea>
    </chartFormat>
    <chartFormat chart="14" format="19">
      <pivotArea type="data" outline="0" fieldPosition="0">
        <references count="2">
          <reference field="4294967294" count="1" selected="0">
            <x v="0"/>
          </reference>
          <reference field="10" count="1" selected="0">
            <x v="6"/>
          </reference>
        </references>
      </pivotArea>
    </chartFormat>
    <chartFormat chart="14" format="20">
      <pivotArea type="data" outline="0" fieldPosition="0">
        <references count="2">
          <reference field="4294967294" count="1" selected="0">
            <x v="0"/>
          </reference>
          <reference field="10" count="1" selected="0">
            <x v="7"/>
          </reference>
        </references>
      </pivotArea>
    </chartFormat>
    <chartFormat chart="14" format="21">
      <pivotArea type="data" outline="0" fieldPosition="0">
        <references count="2">
          <reference field="4294967294" count="1" selected="0">
            <x v="0"/>
          </reference>
          <reference field="10" count="1" selected="0">
            <x v="8"/>
          </reference>
        </references>
      </pivotArea>
    </chartFormat>
    <chartFormat chart="14" format="22">
      <pivotArea type="data" outline="0" fieldPosition="0">
        <references count="2">
          <reference field="4294967294" count="1" selected="0">
            <x v="0"/>
          </reference>
          <reference field="10" count="1" selected="0">
            <x v="9"/>
          </reference>
        </references>
      </pivotArea>
    </chartFormat>
    <chartFormat chart="14" format="23">
      <pivotArea type="data" outline="0" fieldPosition="0">
        <references count="2">
          <reference field="4294967294" count="1" selected="0">
            <x v="0"/>
          </reference>
          <reference field="10" count="1" selected="0">
            <x v="10"/>
          </reference>
        </references>
      </pivotArea>
    </chartFormat>
    <chartFormat chart="14" format="24">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46529F-AFDC-417F-8C04-BF6D73739A8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K9:L21" firstHeaderRow="1" firstDataRow="1" firstDataCol="1"/>
  <pivotFields count="12">
    <pivotField showAll="0"/>
    <pivotField numFmtId="22" showAll="0"/>
    <pivotField showAll="0"/>
    <pivotField showAll="0"/>
    <pivotField showAll="0"/>
    <pivotField showAll="0"/>
    <pivotField showAll="0"/>
    <pivotField dataField="1" showAll="0"/>
    <pivotField showAll="0">
      <items count="5">
        <item x="0"/>
        <item x="2"/>
        <item x="3"/>
        <item x="1"/>
        <item t="default"/>
      </items>
    </pivotField>
    <pivotField showAll="0"/>
    <pivotField axis="axisRow" showAll="0">
      <items count="13">
        <item x="3"/>
        <item x="4"/>
        <item x="1"/>
        <item x="6"/>
        <item x="2"/>
        <item x="7"/>
        <item x="8"/>
        <item x="9"/>
        <item x="11"/>
        <item x="0"/>
        <item x="10"/>
        <item x="5"/>
        <item t="default"/>
      </items>
    </pivotField>
    <pivotField showAll="0">
      <items count="3">
        <item x="1"/>
        <item x="0"/>
        <item t="default"/>
      </items>
    </pivotField>
  </pivotFields>
  <rowFields count="1">
    <field x="10"/>
  </rowFields>
  <rowItems count="12">
    <i>
      <x/>
    </i>
    <i>
      <x v="1"/>
    </i>
    <i>
      <x v="2"/>
    </i>
    <i>
      <x v="3"/>
    </i>
    <i>
      <x v="4"/>
    </i>
    <i>
      <x v="5"/>
    </i>
    <i>
      <x v="6"/>
    </i>
    <i>
      <x v="7"/>
    </i>
    <i>
      <x v="8"/>
    </i>
    <i>
      <x v="9"/>
    </i>
    <i>
      <x v="10"/>
    </i>
    <i>
      <x v="11"/>
    </i>
  </rowItems>
  <colItems count="1">
    <i/>
  </colItems>
  <dataFields count="1">
    <dataField name="Sum of Profit" fld="7" baseField="0" baseItem="0"/>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E9365-1BF2-4119-BCCC-D6A3FB96664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9:V13" firstHeaderRow="1" firstDataRow="2" firstDataCol="1"/>
  <pivotFields count="12">
    <pivotField showAll="0"/>
    <pivotField numFmtId="22" showAll="0"/>
    <pivotField showAll="0"/>
    <pivotField showAll="0"/>
    <pivotField showAll="0"/>
    <pivotField showAll="0"/>
    <pivotField showAll="0"/>
    <pivotField dataField="1" showAll="0"/>
    <pivotField axis="axisCol" showAll="0">
      <items count="5">
        <item x="0"/>
        <item x="2"/>
        <item x="3"/>
        <item x="1"/>
        <item t="default"/>
      </items>
    </pivotField>
    <pivotField showAll="0"/>
    <pivotField showAll="0">
      <items count="13">
        <item x="3"/>
        <item x="4"/>
        <item x="1"/>
        <item x="6"/>
        <item x="2"/>
        <item x="7"/>
        <item x="8"/>
        <item x="9"/>
        <item x="11"/>
        <item x="0"/>
        <item x="10"/>
        <item x="5"/>
        <item t="default"/>
      </items>
    </pivotField>
    <pivotField axis="axisRow" showAll="0">
      <items count="3">
        <item x="1"/>
        <item x="0"/>
        <item t="default"/>
      </items>
    </pivotField>
  </pivotFields>
  <rowFields count="1">
    <field x="11"/>
  </rowFields>
  <rowItems count="3">
    <i>
      <x/>
    </i>
    <i>
      <x v="1"/>
    </i>
    <i t="grand">
      <x/>
    </i>
  </rowItems>
  <colFields count="1">
    <field x="8"/>
  </colFields>
  <colItems count="5">
    <i>
      <x/>
    </i>
    <i>
      <x v="1"/>
    </i>
    <i>
      <x v="2"/>
    </i>
    <i>
      <x v="3"/>
    </i>
    <i t="grand">
      <x/>
    </i>
  </colItems>
  <dataFields count="1">
    <dataField name="Sum of Profit" fld="7" baseField="0" baseItem="0"/>
  </dataFields>
  <chartFormats count="10">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5" format="2" series="1">
      <pivotArea type="data" outline="0" fieldPosition="0">
        <references count="2">
          <reference field="4294967294" count="1" selected="0">
            <x v="0"/>
          </reference>
          <reference field="8" count="1" selected="0">
            <x v="2"/>
          </reference>
        </references>
      </pivotArea>
    </chartFormat>
    <chartFormat chart="5" format="3" series="1">
      <pivotArea type="data" outline="0" fieldPosition="0">
        <references count="2">
          <reference field="4294967294" count="1" selected="0">
            <x v="0"/>
          </reference>
          <reference field="8" count="1" selected="0">
            <x v="3"/>
          </reference>
        </references>
      </pivotArea>
    </chartFormat>
    <chartFormat chart="7" format="3" series="1">
      <pivotArea type="data" outline="0" fieldPosition="0">
        <references count="2">
          <reference field="4294967294" count="1" selected="0">
            <x v="0"/>
          </reference>
          <reference field="8" count="1" selected="0">
            <x v="1"/>
          </reference>
        </references>
      </pivotArea>
    </chartFormat>
    <chartFormat chart="7" format="4" series="1">
      <pivotArea type="data" outline="0" fieldPosition="0">
        <references count="2">
          <reference field="4294967294" count="1" selected="0">
            <x v="0"/>
          </reference>
          <reference field="8" count="1" selected="0">
            <x v="2"/>
          </reference>
        </references>
      </pivotArea>
    </chartFormat>
    <chartFormat chart="7" format="5" series="1">
      <pivotArea type="data" outline="0" fieldPosition="0">
        <references count="2">
          <reference field="4294967294" count="1" selected="0">
            <x v="0"/>
          </reference>
          <reference field="8" count="1" selected="0">
            <x v="3"/>
          </reference>
        </references>
      </pivotArea>
    </chartFormat>
    <chartFormat chart="5" format="4"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69CDDB-B5E8-42A8-8CFE-EBC3D17527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17:S21" firstHeaderRow="1" firstDataRow="2" firstDataCol="1"/>
  <pivotFields count="12">
    <pivotField showAll="0"/>
    <pivotField numFmtId="22" showAll="0"/>
    <pivotField showAll="0"/>
    <pivotField showAll="0"/>
    <pivotField showAll="0"/>
    <pivotField showAll="0"/>
    <pivotField dataField="1" showAll="0">
      <items count="433">
        <item x="350"/>
        <item x="255"/>
        <item x="78"/>
        <item x="9"/>
        <item x="268"/>
        <item x="245"/>
        <item x="91"/>
        <item x="104"/>
        <item x="374"/>
        <item x="398"/>
        <item x="19"/>
        <item x="287"/>
        <item x="258"/>
        <item x="158"/>
        <item x="386"/>
        <item x="372"/>
        <item x="165"/>
        <item x="151"/>
        <item x="235"/>
        <item x="72"/>
        <item x="30"/>
        <item x="11"/>
        <item x="279"/>
        <item x="89"/>
        <item x="244"/>
        <item x="34"/>
        <item x="71"/>
        <item x="101"/>
        <item x="152"/>
        <item x="40"/>
        <item x="14"/>
        <item x="248"/>
        <item x="393"/>
        <item x="296"/>
        <item x="377"/>
        <item x="94"/>
        <item x="356"/>
        <item x="13"/>
        <item x="214"/>
        <item x="261"/>
        <item x="134"/>
        <item x="216"/>
        <item x="168"/>
        <item x="156"/>
        <item x="8"/>
        <item x="160"/>
        <item x="341"/>
        <item x="322"/>
        <item x="167"/>
        <item x="199"/>
        <item x="25"/>
        <item x="293"/>
        <item x="26"/>
        <item x="283"/>
        <item x="128"/>
        <item x="306"/>
        <item x="323"/>
        <item x="18"/>
        <item x="187"/>
        <item x="63"/>
        <item x="297"/>
        <item x="39"/>
        <item x="249"/>
        <item x="421"/>
        <item x="340"/>
        <item x="189"/>
        <item x="68"/>
        <item x="47"/>
        <item x="5"/>
        <item x="12"/>
        <item x="230"/>
        <item x="367"/>
        <item x="148"/>
        <item x="309"/>
        <item x="425"/>
        <item x="414"/>
        <item x="324"/>
        <item x="73"/>
        <item x="418"/>
        <item x="286"/>
        <item x="288"/>
        <item x="259"/>
        <item x="265"/>
        <item x="59"/>
        <item x="345"/>
        <item x="51"/>
        <item x="202"/>
        <item x="80"/>
        <item x="142"/>
        <item x="131"/>
        <item x="331"/>
        <item x="406"/>
        <item x="181"/>
        <item x="21"/>
        <item x="411"/>
        <item x="319"/>
        <item x="238"/>
        <item x="392"/>
        <item x="220"/>
        <item x="229"/>
        <item x="77"/>
        <item x="24"/>
        <item x="174"/>
        <item x="69"/>
        <item x="277"/>
        <item x="232"/>
        <item x="164"/>
        <item x="429"/>
        <item x="119"/>
        <item x="267"/>
        <item x="313"/>
        <item x="218"/>
        <item x="223"/>
        <item x="321"/>
        <item x="354"/>
        <item x="369"/>
        <item x="361"/>
        <item x="84"/>
        <item x="237"/>
        <item x="330"/>
        <item x="334"/>
        <item x="409"/>
        <item x="222"/>
        <item x="256"/>
        <item x="38"/>
        <item x="390"/>
        <item x="195"/>
        <item x="95"/>
        <item x="335"/>
        <item x="360"/>
        <item x="397"/>
        <item x="206"/>
        <item x="90"/>
        <item x="61"/>
        <item x="114"/>
        <item x="112"/>
        <item x="35"/>
        <item x="301"/>
        <item x="346"/>
        <item x="88"/>
        <item x="136"/>
        <item x="143"/>
        <item x="96"/>
        <item x="62"/>
        <item x="113"/>
        <item x="56"/>
        <item x="43"/>
        <item x="349"/>
        <item x="60"/>
        <item x="140"/>
        <item x="55"/>
        <item x="32"/>
        <item x="410"/>
        <item x="85"/>
        <item x="132"/>
        <item x="242"/>
        <item x="118"/>
        <item x="16"/>
        <item x="190"/>
        <item x="154"/>
        <item x="278"/>
        <item x="225"/>
        <item x="227"/>
        <item x="75"/>
        <item x="282"/>
        <item x="139"/>
        <item x="93"/>
        <item x="145"/>
        <item x="197"/>
        <item x="289"/>
        <item x="388"/>
        <item x="203"/>
        <item x="240"/>
        <item x="46"/>
        <item x="239"/>
        <item x="236"/>
        <item x="260"/>
        <item x="355"/>
        <item x="412"/>
        <item x="328"/>
        <item x="311"/>
        <item x="82"/>
        <item x="173"/>
        <item x="17"/>
        <item x="157"/>
        <item x="292"/>
        <item x="172"/>
        <item x="327"/>
        <item x="163"/>
        <item x="402"/>
        <item x="370"/>
        <item x="200"/>
        <item x="215"/>
        <item x="284"/>
        <item x="368"/>
        <item x="76"/>
        <item x="254"/>
        <item x="186"/>
        <item x="384"/>
        <item x="191"/>
        <item x="155"/>
        <item x="378"/>
        <item x="185"/>
        <item x="53"/>
        <item x="201"/>
        <item x="253"/>
        <item x="352"/>
        <item x="347"/>
        <item x="116"/>
        <item x="272"/>
        <item x="351"/>
        <item x="170"/>
        <item x="74"/>
        <item x="212"/>
        <item x="403"/>
        <item x="122"/>
        <item x="23"/>
        <item x="178"/>
        <item x="141"/>
        <item x="305"/>
        <item x="64"/>
        <item x="133"/>
        <item x="1"/>
        <item x="22"/>
        <item x="99"/>
        <item x="144"/>
        <item x="49"/>
        <item x="275"/>
        <item x="183"/>
        <item x="262"/>
        <item x="111"/>
        <item x="413"/>
        <item x="42"/>
        <item x="304"/>
        <item x="307"/>
        <item x="54"/>
        <item x="107"/>
        <item x="177"/>
        <item x="217"/>
        <item x="329"/>
        <item x="15"/>
        <item x="166"/>
        <item x="339"/>
        <item x="137"/>
        <item x="129"/>
        <item x="33"/>
        <item x="41"/>
        <item x="193"/>
        <item x="353"/>
        <item x="415"/>
        <item x="233"/>
        <item x="209"/>
        <item x="100"/>
        <item x="376"/>
        <item x="213"/>
        <item x="210"/>
        <item x="192"/>
        <item x="153"/>
        <item x="336"/>
        <item x="50"/>
        <item x="207"/>
        <item x="208"/>
        <item x="44"/>
        <item x="359"/>
        <item x="371"/>
        <item x="308"/>
        <item x="67"/>
        <item x="120"/>
        <item x="343"/>
        <item x="7"/>
        <item x="211"/>
        <item x="300"/>
        <item x="271"/>
        <item x="224"/>
        <item x="29"/>
        <item x="182"/>
        <item x="295"/>
        <item x="375"/>
        <item x="317"/>
        <item x="408"/>
        <item x="400"/>
        <item x="121"/>
        <item x="399"/>
        <item x="138"/>
        <item x="285"/>
        <item x="430"/>
        <item x="273"/>
        <item x="422"/>
        <item x="395"/>
        <item x="263"/>
        <item x="196"/>
        <item x="298"/>
        <item x="102"/>
        <item x="146"/>
        <item x="251"/>
        <item x="52"/>
        <item x="108"/>
        <item x="417"/>
        <item x="316"/>
        <item x="171"/>
        <item x="57"/>
        <item x="125"/>
        <item x="314"/>
        <item x="379"/>
        <item x="150"/>
        <item x="404"/>
        <item x="407"/>
        <item x="194"/>
        <item x="6"/>
        <item x="320"/>
        <item x="219"/>
        <item x="123"/>
        <item x="401"/>
        <item x="428"/>
        <item x="269"/>
        <item x="270"/>
        <item x="162"/>
        <item x="303"/>
        <item x="79"/>
        <item x="337"/>
        <item x="204"/>
        <item x="127"/>
        <item x="188"/>
        <item x="4"/>
        <item x="257"/>
        <item x="0"/>
        <item x="281"/>
        <item x="385"/>
        <item x="226"/>
        <item x="342"/>
        <item x="48"/>
        <item x="109"/>
        <item x="87"/>
        <item x="92"/>
        <item x="310"/>
        <item x="70"/>
        <item x="180"/>
        <item x="389"/>
        <item x="381"/>
        <item x="315"/>
        <item x="184"/>
        <item x="117"/>
        <item x="228"/>
        <item x="266"/>
        <item x="364"/>
        <item x="302"/>
        <item x="416"/>
        <item x="299"/>
        <item x="366"/>
        <item x="234"/>
        <item x="66"/>
        <item x="358"/>
        <item x="294"/>
        <item x="250"/>
        <item x="362"/>
        <item x="147"/>
        <item x="98"/>
        <item x="326"/>
        <item x="291"/>
        <item x="431"/>
        <item x="380"/>
        <item x="274"/>
        <item x="396"/>
        <item x="65"/>
        <item x="394"/>
        <item x="363"/>
        <item x="135"/>
        <item x="86"/>
        <item x="276"/>
        <item x="344"/>
        <item x="221"/>
        <item x="176"/>
        <item x="198"/>
        <item x="115"/>
        <item x="106"/>
        <item x="348"/>
        <item x="338"/>
        <item x="37"/>
        <item x="290"/>
        <item x="161"/>
        <item x="81"/>
        <item x="179"/>
        <item x="97"/>
        <item x="365"/>
        <item x="252"/>
        <item x="280"/>
        <item x="130"/>
        <item x="405"/>
        <item x="247"/>
        <item x="28"/>
        <item x="175"/>
        <item x="205"/>
        <item x="264"/>
        <item x="373"/>
        <item x="333"/>
        <item x="110"/>
        <item x="105"/>
        <item x="243"/>
        <item x="383"/>
        <item x="312"/>
        <item x="420"/>
        <item x="83"/>
        <item x="426"/>
        <item x="391"/>
        <item x="10"/>
        <item x="20"/>
        <item x="332"/>
        <item x="325"/>
        <item x="241"/>
        <item x="246"/>
        <item x="27"/>
        <item x="124"/>
        <item x="31"/>
        <item x="149"/>
        <item x="159"/>
        <item x="36"/>
        <item x="318"/>
        <item x="387"/>
        <item x="45"/>
        <item x="419"/>
        <item x="231"/>
        <item x="169"/>
        <item x="357"/>
        <item x="3"/>
        <item x="427"/>
        <item x="382"/>
        <item x="424"/>
        <item x="423"/>
        <item x="103"/>
        <item x="2"/>
        <item x="126"/>
        <item x="58"/>
        <item t="default"/>
      </items>
    </pivotField>
    <pivotField showAll="0"/>
    <pivotField axis="axisCol" showAll="0">
      <items count="5">
        <item x="0"/>
        <item x="2"/>
        <item x="3"/>
        <item x="1"/>
        <item t="default"/>
      </items>
    </pivotField>
    <pivotField showAll="0"/>
    <pivotField showAll="0"/>
    <pivotField axis="axisRow" showAll="0">
      <items count="3">
        <item x="1"/>
        <item x="0"/>
        <item t="default"/>
      </items>
    </pivotField>
  </pivotFields>
  <rowFields count="1">
    <field x="11"/>
  </rowFields>
  <rowItems count="3">
    <i>
      <x/>
    </i>
    <i>
      <x v="1"/>
    </i>
    <i t="grand">
      <x/>
    </i>
  </rowItems>
  <colFields count="1">
    <field x="8"/>
  </colFields>
  <colItems count="5">
    <i>
      <x/>
    </i>
    <i>
      <x v="1"/>
    </i>
    <i>
      <x v="2"/>
    </i>
    <i>
      <x v="3"/>
    </i>
    <i t="grand">
      <x/>
    </i>
  </colItems>
  <dataFields count="1">
    <dataField name="Sum of TotalSale" fld="6" baseField="0" baseItem="0"/>
  </dataFields>
  <chartFormats count="12">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 chart="4" format="3" series="1">
      <pivotArea type="data" outline="0" fieldPosition="0">
        <references count="2">
          <reference field="4294967294" count="1" selected="0">
            <x v="0"/>
          </reference>
          <reference field="8" count="1" selected="0">
            <x v="3"/>
          </reference>
        </references>
      </pivotArea>
    </chartFormat>
    <chartFormat chart="5" format="4" series="1">
      <pivotArea type="data" outline="0" fieldPosition="0">
        <references count="2">
          <reference field="4294967294" count="1" selected="0">
            <x v="0"/>
          </reference>
          <reference field="8" count="1" selected="0">
            <x v="0"/>
          </reference>
        </references>
      </pivotArea>
    </chartFormat>
    <chartFormat chart="5" format="5" series="1">
      <pivotArea type="data" outline="0" fieldPosition="0">
        <references count="2">
          <reference field="4294967294" count="1" selected="0">
            <x v="0"/>
          </reference>
          <reference field="8" count="1" selected="0">
            <x v="1"/>
          </reference>
        </references>
      </pivotArea>
    </chartFormat>
    <chartFormat chart="5" format="6" series="1">
      <pivotArea type="data" outline="0" fieldPosition="0">
        <references count="2">
          <reference field="4294967294" count="1" selected="0">
            <x v="0"/>
          </reference>
          <reference field="8" count="1" selected="0">
            <x v="2"/>
          </reference>
        </references>
      </pivotArea>
    </chartFormat>
    <chartFormat chart="5" format="7" series="1">
      <pivotArea type="data" outline="0" fieldPosition="0">
        <references count="2">
          <reference field="4294967294" count="1" selected="0">
            <x v="0"/>
          </reference>
          <reference field="8" count="1" selected="0">
            <x v="3"/>
          </reference>
        </references>
      </pivotArea>
    </chartFormat>
    <chartFormat chart="6" format="8" series="1">
      <pivotArea type="data" outline="0" fieldPosition="0">
        <references count="2">
          <reference field="4294967294" count="1" selected="0">
            <x v="0"/>
          </reference>
          <reference field="8" count="1" selected="0">
            <x v="0"/>
          </reference>
        </references>
      </pivotArea>
    </chartFormat>
    <chartFormat chart="6" format="9" series="1">
      <pivotArea type="data" outline="0" fieldPosition="0">
        <references count="2">
          <reference field="4294967294" count="1" selected="0">
            <x v="0"/>
          </reference>
          <reference field="8" count="1" selected="0">
            <x v="1"/>
          </reference>
        </references>
      </pivotArea>
    </chartFormat>
    <chartFormat chart="6" format="10" series="1">
      <pivotArea type="data" outline="0" fieldPosition="0">
        <references count="2">
          <reference field="4294967294" count="1" selected="0">
            <x v="0"/>
          </reference>
          <reference field="8" count="1" selected="0">
            <x v="2"/>
          </reference>
        </references>
      </pivotArea>
    </chartFormat>
    <chartFormat chart="6"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784DF2-8C5E-4E9D-9FC9-FB43B566CF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9:F14" firstHeaderRow="1" firstDataRow="1" firstDataCol="1"/>
  <pivotFields count="12">
    <pivotField showAll="0"/>
    <pivotField numFmtId="22" showAll="0"/>
    <pivotField showAll="0"/>
    <pivotField showAll="0"/>
    <pivotField showAll="0"/>
    <pivotField showAll="0"/>
    <pivotField showAll="0"/>
    <pivotField dataField="1" showAll="0"/>
    <pivotField axis="axisRow" showAll="0">
      <items count="5">
        <item x="0"/>
        <item x="2"/>
        <item x="3"/>
        <item x="1"/>
        <item t="default"/>
      </items>
    </pivotField>
    <pivotField showAll="0"/>
    <pivotField showAll="0">
      <items count="13">
        <item x="3"/>
        <item x="4"/>
        <item x="1"/>
        <item x="6"/>
        <item x="2"/>
        <item x="7"/>
        <item x="8"/>
        <item x="9"/>
        <item x="11"/>
        <item x="0"/>
        <item x="10"/>
        <item x="5"/>
        <item t="default"/>
      </items>
    </pivotField>
    <pivotField showAll="0">
      <items count="3">
        <item x="1"/>
        <item x="0"/>
        <item t="default"/>
      </items>
    </pivotField>
  </pivotFields>
  <rowFields count="1">
    <field x="8"/>
  </rowFields>
  <rowItems count="5">
    <i>
      <x/>
    </i>
    <i>
      <x v="1"/>
    </i>
    <i>
      <x v="2"/>
    </i>
    <i>
      <x v="3"/>
    </i>
    <i t="grand">
      <x/>
    </i>
  </rowItems>
  <colItems count="1">
    <i/>
  </colItems>
  <dataFields count="1">
    <dataField name="Sum of Profit" fld="7"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B889DE-133C-4372-A092-2DA0848B48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9:C14" firstHeaderRow="1" firstDataRow="1" firstDataCol="1"/>
  <pivotFields count="12">
    <pivotField showAll="0"/>
    <pivotField numFmtId="22" showAll="0"/>
    <pivotField showAll="0"/>
    <pivotField showAll="0"/>
    <pivotField showAll="0"/>
    <pivotField showAll="0"/>
    <pivotField dataField="1" showAll="0"/>
    <pivotField showAll="0"/>
    <pivotField axis="axisRow" showAll="0">
      <items count="5">
        <item x="0"/>
        <item x="2"/>
        <item x="3"/>
        <item x="1"/>
        <item t="default"/>
      </items>
    </pivotField>
    <pivotField showAll="0"/>
    <pivotField showAll="0">
      <items count="13">
        <item x="3"/>
        <item x="4"/>
        <item x="1"/>
        <item x="6"/>
        <item x="2"/>
        <item x="7"/>
        <item x="8"/>
        <item x="9"/>
        <item x="11"/>
        <item x="0"/>
        <item x="10"/>
        <item x="5"/>
        <item t="default"/>
      </items>
    </pivotField>
    <pivotField showAll="0">
      <items count="3">
        <item x="1"/>
        <item x="0"/>
        <item t="default"/>
      </items>
    </pivotField>
  </pivotFields>
  <rowFields count="1">
    <field x="8"/>
  </rowFields>
  <rowItems count="5">
    <i>
      <x/>
    </i>
    <i>
      <x v="1"/>
    </i>
    <i>
      <x v="2"/>
    </i>
    <i>
      <x v="3"/>
    </i>
    <i t="grand">
      <x/>
    </i>
  </rowItems>
  <colItems count="1">
    <i/>
  </colItems>
  <dataFields count="1">
    <dataField name="Sum of TotalSale" fld="6" baseField="0" baseItem="0"/>
  </dataFields>
  <chartFormats count="12">
    <chartFormat chart="2"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8" count="1" selected="0">
            <x v="0"/>
          </reference>
        </references>
      </pivotArea>
    </chartFormat>
    <chartFormat chart="8" format="8">
      <pivotArea type="data" outline="0" fieldPosition="0">
        <references count="2">
          <reference field="4294967294" count="1" selected="0">
            <x v="0"/>
          </reference>
          <reference field="8" count="1" selected="0">
            <x v="1"/>
          </reference>
        </references>
      </pivotArea>
    </chartFormat>
    <chartFormat chart="8" format="9">
      <pivotArea type="data" outline="0" fieldPosition="0">
        <references count="2">
          <reference field="4294967294" count="1" selected="0">
            <x v="0"/>
          </reference>
          <reference field="8" count="1" selected="0">
            <x v="2"/>
          </reference>
        </references>
      </pivotArea>
    </chartFormat>
    <chartFormat chart="8" format="10">
      <pivotArea type="data" outline="0" fieldPosition="0">
        <references count="2">
          <reference field="4294967294" count="1" selected="0">
            <x v="0"/>
          </reference>
          <reference field="8" count="1" selected="0">
            <x v="3"/>
          </reference>
        </references>
      </pivotArea>
    </chartFormat>
    <chartFormat chart="8" format="1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 chart="2" format="7">
      <pivotArea type="data" outline="0" fieldPosition="0">
        <references count="2">
          <reference field="4294967294" count="1" selected="0">
            <x v="0"/>
          </reference>
          <reference field="8" count="1" selected="0">
            <x v="2"/>
          </reference>
        </references>
      </pivotArea>
    </chartFormat>
    <chartFormat chart="2" format="8">
      <pivotArea type="data" outline="0" fieldPosition="0">
        <references count="2">
          <reference field="4294967294" count="1" selected="0">
            <x v="0"/>
          </reference>
          <reference field="8" count="1" selected="0">
            <x v="3"/>
          </reference>
        </references>
      </pivotArea>
    </chartFormat>
    <chartFormat chart="2"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D58BFD2D-05F6-47FD-8BA1-7CFB3775F00C}" autoFormatId="16" applyNumberFormats="0" applyBorderFormats="0" applyFontFormats="0" applyPatternFormats="0" applyAlignmentFormats="0" applyWidthHeightFormats="0">
  <queryTableRefresh nextId="13">
    <queryTableFields count="12">
      <queryTableField id="1" name="OrderID" tableColumnId="1"/>
      <queryTableField id="2" name="OrderDate" tableColumnId="2"/>
      <queryTableField id="3" name="CustomerID" tableColumnId="3"/>
      <queryTableField id="4" name="ProductID" tableColumnId="4"/>
      <queryTableField id="5" name="Quantity" tableColumnId="5"/>
      <queryTableField id="6" name="UnitPrice" tableColumnId="6"/>
      <queryTableField id="7" name="TotalSale" tableColumnId="7"/>
      <queryTableField id="8" name="Profit" tableColumnId="8"/>
      <queryTableField id="9" name="Region" tableColumnId="9"/>
      <queryTableField id="10" name="OrderDay" tableColumnId="10"/>
      <queryTableField id="11" name="Ordermonth" tableColumnId="11"/>
      <queryTableField id="12" name="Orderyear"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975FAF-8768-435B-97CE-5503E6E7AAF9}" sourceName="Region">
  <pivotTables>
    <pivotTable tabId="7" name="PivotTable5"/>
    <pivotTable tabId="7" name="PivotTable6"/>
    <pivotTable tabId="7" name="PivotTable10"/>
    <pivotTable tabId="7" name="PivotTable7"/>
    <pivotTable tabId="7" name="PivotTable8"/>
    <pivotTable tabId="7" name="PivotTable9"/>
  </pivotTables>
  <data>
    <tabular pivotCacheId="127889284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month" xr10:uid="{0BB14FCB-C5A7-44BE-8A4B-2EE4473F9179}" sourceName="Ordermonth">
  <pivotTables>
    <pivotTable tabId="7" name="PivotTable7"/>
    <pivotTable tabId="7" name="PivotTable5"/>
    <pivotTable tabId="7" name="PivotTable6"/>
    <pivotTable tabId="7" name="PivotTable8"/>
    <pivotTable tabId="7" name="PivotTable10"/>
    <pivotTable tabId="7" name="PivotTable9"/>
  </pivotTables>
  <data>
    <tabular pivotCacheId="1278892849">
      <items count="12">
        <i x="3" s="1"/>
        <i x="4" s="1"/>
        <i x="1" s="1"/>
        <i x="6" s="1"/>
        <i x="2" s="1"/>
        <i x="7" s="1"/>
        <i x="8" s="1"/>
        <i x="9" s="1"/>
        <i x="11" s="1"/>
        <i x="0" s="1"/>
        <i x="1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872CA38C-DEAA-4286-9BDE-191FA73C02E5}" sourceName="Orderyear">
  <pivotTables>
    <pivotTable tabId="7" name="PivotTable9"/>
    <pivotTable tabId="7" name="PivotTable10"/>
    <pivotTable tabId="7" name="PivotTable5"/>
    <pivotTable tabId="7" name="PivotTable6"/>
    <pivotTable tabId="7" name="PivotTable7"/>
    <pivotTable tabId="7" name="PivotTable8"/>
  </pivotTables>
  <data>
    <tabular pivotCacheId="127889284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5F9FE5A-72B5-4A98-8F9F-90DCA58EDBE1}" cache="Slicer_Region" caption="Region" rowHeight="247650"/>
  <slicer name="Ordermonth 1" xr10:uid="{CD5080DA-CA10-486C-B45B-2FBA594A6C62}" cache="Slicer_Ordermonth" caption="Ordermonth" rowHeight="247650"/>
  <slicer name="Orderyear 1" xr10:uid="{04DEDB3C-C92B-492C-B700-34C6BA873DC8}" cache="Slicer_Orderyear" caption="Order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7963F20-58CF-47DD-B624-A5015EC81463}" cache="Slicer_Region" caption="Region" columnCount="4" rowHeight="247650"/>
  <slicer name="Ordermonth" xr10:uid="{3B6F55AF-2D6D-482B-BEA7-313488F688AB}" cache="Slicer_Ordermonth" caption="Ordermonth" columnCount="2" rowHeight="247650"/>
  <slicer name="Orderyear" xr10:uid="{D8BFF89C-779C-4757-AD89-E71ED83D778A}" cache="Slicer_Orderyear" caption="Orderyear"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413AE-BD0B-4F2D-B2EC-90F47A364A99}" name="Table1_2" displayName="Table1_2" ref="A1:L1001" tableType="queryTable" totalsRowShown="0">
  <autoFilter ref="A1:L1001" xr:uid="{14E413AE-BD0B-4F2D-B2EC-90F47A364A99}"/>
  <tableColumns count="12">
    <tableColumn id="1" xr3:uid="{F7F71E30-AE78-4BB9-BEDC-961BD497A438}" uniqueName="1" name="OrderID" queryTableFieldId="1" dataDxfId="5"/>
    <tableColumn id="2" xr3:uid="{D18B5033-4C48-4D49-8B8F-19EBB6F53A11}" uniqueName="2" name="OrderDate" queryTableFieldId="2" dataDxfId="4"/>
    <tableColumn id="3" xr3:uid="{7D5EA000-A491-4B1D-9874-CBBC72CB35C5}" uniqueName="3" name="CustomerID" queryTableFieldId="3" dataDxfId="3"/>
    <tableColumn id="4" xr3:uid="{9A438843-9D88-40B2-85E6-8BC78B35794B}" uniqueName="4" name="ProductID" queryTableFieldId="4" dataDxfId="2"/>
    <tableColumn id="5" xr3:uid="{2404BDDC-2B5B-4A57-846A-9D081C94F11E}" uniqueName="5" name="Quantity" queryTableFieldId="5"/>
    <tableColumn id="6" xr3:uid="{A1023E10-723E-453A-AD6A-D58F827C5C04}" uniqueName="6" name="UnitPrice" queryTableFieldId="6"/>
    <tableColumn id="7" xr3:uid="{A69ECCE8-3349-4215-B25F-300E015F3F64}" uniqueName="7" name="TotalSale" queryTableFieldId="7"/>
    <tableColumn id="8" xr3:uid="{0D3341FF-E259-420C-ADD1-88382CBC493C}" uniqueName="8" name="Profit" queryTableFieldId="8"/>
    <tableColumn id="9" xr3:uid="{A9E4980C-A33E-4CAD-90AB-991E50008201}" uniqueName="9" name="Region" queryTableFieldId="9" dataDxfId="1"/>
    <tableColumn id="10" xr3:uid="{8FC6BCC5-F62E-4E80-94FC-A46B45AA8035}" uniqueName="10" name="OrderDay" queryTableFieldId="10"/>
    <tableColumn id="11" xr3:uid="{BF6AA628-9233-438D-BF69-7A90C01231FF}" uniqueName="11" name="Ordermonth" queryTableFieldId="11" dataDxfId="0"/>
    <tableColumn id="12" xr3:uid="{2D2A97C6-E073-46B3-A29F-32C184ACEB81}" uniqueName="12" name="Orderyear"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B0800-9839-4088-99D1-BEB9B864D989}">
  <dimension ref="A1"/>
  <sheetViews>
    <sheetView showGridLines="0"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FC87A-2998-4E07-93E5-D56F30723BC6}">
  <dimension ref="A1:L1001"/>
  <sheetViews>
    <sheetView workbookViewId="0"/>
  </sheetViews>
  <sheetFormatPr defaultRowHeight="14.4" x14ac:dyDescent="0.3"/>
  <cols>
    <col min="1" max="1" width="9.77734375" bestFit="1" customWidth="1"/>
    <col min="2" max="2" width="15.33203125" bestFit="1" customWidth="1"/>
    <col min="3" max="3" width="13.109375" bestFit="1" customWidth="1"/>
    <col min="4" max="4" width="11.5546875" bestFit="1" customWidth="1"/>
    <col min="5" max="5" width="10.33203125" bestFit="1" customWidth="1"/>
    <col min="6" max="7" width="11" bestFit="1" customWidth="1"/>
    <col min="8" max="8" width="8" bestFit="1" customWidth="1"/>
    <col min="9" max="9" width="8.77734375" bestFit="1" customWidth="1"/>
    <col min="10" max="10" width="11.109375" bestFit="1" customWidth="1"/>
    <col min="11" max="11" width="13.33203125" bestFit="1" customWidth="1"/>
    <col min="12" max="12" width="11.5546875" bestFit="1" customWidth="1"/>
  </cols>
  <sheetData>
    <row r="1" spans="1:12" x14ac:dyDescent="0.3">
      <c r="A1" t="s">
        <v>0</v>
      </c>
      <c r="B1" t="s">
        <v>1</v>
      </c>
      <c r="C1" t="s">
        <v>2</v>
      </c>
      <c r="D1" t="s">
        <v>3</v>
      </c>
      <c r="E1" t="s">
        <v>4</v>
      </c>
      <c r="F1" t="s">
        <v>5</v>
      </c>
      <c r="G1" t="s">
        <v>6</v>
      </c>
      <c r="H1" t="s">
        <v>1482</v>
      </c>
      <c r="I1" t="s">
        <v>7</v>
      </c>
      <c r="J1" t="s">
        <v>1488</v>
      </c>
      <c r="K1" t="s">
        <v>1486</v>
      </c>
      <c r="L1" t="s">
        <v>1487</v>
      </c>
    </row>
    <row r="2" spans="1:12" x14ac:dyDescent="0.3">
      <c r="A2" s="1" t="s">
        <v>8</v>
      </c>
      <c r="B2" s="4">
        <v>45951</v>
      </c>
      <c r="C2" s="1" t="s">
        <v>9</v>
      </c>
      <c r="D2" s="1" t="s">
        <v>10</v>
      </c>
      <c r="E2">
        <v>6</v>
      </c>
      <c r="F2">
        <v>112.61</v>
      </c>
      <c r="G2">
        <v>675.66</v>
      </c>
      <c r="H2">
        <v>202.69799999999998</v>
      </c>
      <c r="I2" s="1" t="s">
        <v>11</v>
      </c>
      <c r="J2">
        <v>21</v>
      </c>
      <c r="K2" s="1" t="s">
        <v>1490</v>
      </c>
      <c r="L2">
        <v>2025</v>
      </c>
    </row>
    <row r="3" spans="1:12" x14ac:dyDescent="0.3">
      <c r="A3" s="1" t="s">
        <v>12</v>
      </c>
      <c r="B3" s="4">
        <v>45364</v>
      </c>
      <c r="C3" s="1" t="s">
        <v>13</v>
      </c>
      <c r="D3" s="1" t="s">
        <v>14</v>
      </c>
      <c r="E3">
        <v>4</v>
      </c>
      <c r="F3">
        <v>86.37</v>
      </c>
      <c r="G3">
        <v>345.48</v>
      </c>
      <c r="H3">
        <v>103.64400000000001</v>
      </c>
      <c r="I3" s="1" t="s">
        <v>15</v>
      </c>
      <c r="J3">
        <v>13</v>
      </c>
      <c r="K3" s="1" t="s">
        <v>1491</v>
      </c>
      <c r="L3">
        <v>2024</v>
      </c>
    </row>
    <row r="4" spans="1:12" x14ac:dyDescent="0.3">
      <c r="A4" s="1" t="s">
        <v>16</v>
      </c>
      <c r="B4" s="4">
        <v>45442</v>
      </c>
      <c r="C4" s="1" t="s">
        <v>17</v>
      </c>
      <c r="D4" s="1" t="s">
        <v>18</v>
      </c>
      <c r="E4">
        <v>10</v>
      </c>
      <c r="F4">
        <v>185.22</v>
      </c>
      <c r="G4">
        <v>1852.2</v>
      </c>
      <c r="H4">
        <v>555.66</v>
      </c>
      <c r="I4" s="1" t="s">
        <v>19</v>
      </c>
      <c r="J4">
        <v>30</v>
      </c>
      <c r="K4" s="1" t="s">
        <v>1492</v>
      </c>
      <c r="L4">
        <v>2024</v>
      </c>
    </row>
    <row r="5" spans="1:12" x14ac:dyDescent="0.3">
      <c r="A5" s="1" t="s">
        <v>20</v>
      </c>
      <c r="B5" s="4">
        <v>45681</v>
      </c>
      <c r="C5" s="1" t="s">
        <v>21</v>
      </c>
      <c r="D5" s="1" t="s">
        <v>18</v>
      </c>
      <c r="E5">
        <v>9</v>
      </c>
      <c r="F5">
        <v>185.22</v>
      </c>
      <c r="G5">
        <v>1666.98</v>
      </c>
      <c r="H5">
        <v>500.09399999999999</v>
      </c>
      <c r="I5" s="1" t="s">
        <v>15</v>
      </c>
      <c r="J5">
        <v>24</v>
      </c>
      <c r="K5" s="1" t="s">
        <v>1493</v>
      </c>
      <c r="L5">
        <v>2025</v>
      </c>
    </row>
    <row r="6" spans="1:12" x14ac:dyDescent="0.3">
      <c r="A6" s="1" t="s">
        <v>22</v>
      </c>
      <c r="B6" s="4">
        <v>45333</v>
      </c>
      <c r="C6" s="1" t="s">
        <v>23</v>
      </c>
      <c r="D6" s="1" t="s">
        <v>24</v>
      </c>
      <c r="E6">
        <v>5</v>
      </c>
      <c r="F6">
        <v>134.32</v>
      </c>
      <c r="G6">
        <v>671.6</v>
      </c>
      <c r="H6">
        <v>201.48</v>
      </c>
      <c r="I6" s="1" t="s">
        <v>11</v>
      </c>
      <c r="J6">
        <v>11</v>
      </c>
      <c r="K6" s="1" t="s">
        <v>1494</v>
      </c>
      <c r="L6">
        <v>2024</v>
      </c>
    </row>
    <row r="7" spans="1:12" x14ac:dyDescent="0.3">
      <c r="A7" s="1" t="s">
        <v>25</v>
      </c>
      <c r="B7" s="4">
        <v>45635</v>
      </c>
      <c r="C7" s="1" t="s">
        <v>26</v>
      </c>
      <c r="D7" s="1" t="s">
        <v>27</v>
      </c>
      <c r="E7">
        <v>3</v>
      </c>
      <c r="F7">
        <v>35.03</v>
      </c>
      <c r="G7">
        <v>105.09</v>
      </c>
      <c r="H7">
        <v>31.527000000000001</v>
      </c>
      <c r="I7" s="1" t="s">
        <v>19</v>
      </c>
      <c r="J7">
        <v>9</v>
      </c>
      <c r="K7" s="1" t="s">
        <v>1495</v>
      </c>
      <c r="L7">
        <v>2024</v>
      </c>
    </row>
    <row r="8" spans="1:12" x14ac:dyDescent="0.3">
      <c r="A8" s="1" t="s">
        <v>28</v>
      </c>
      <c r="B8" s="4">
        <v>45996</v>
      </c>
      <c r="C8" s="1" t="s">
        <v>29</v>
      </c>
      <c r="D8" s="1" t="s">
        <v>30</v>
      </c>
      <c r="E8">
        <v>8</v>
      </c>
      <c r="F8">
        <v>74.61</v>
      </c>
      <c r="G8">
        <v>596.88</v>
      </c>
      <c r="H8">
        <v>179.06399999999999</v>
      </c>
      <c r="I8" s="1" t="s">
        <v>15</v>
      </c>
      <c r="J8">
        <v>5</v>
      </c>
      <c r="K8" s="1" t="s">
        <v>1495</v>
      </c>
      <c r="L8">
        <v>2025</v>
      </c>
    </row>
    <row r="9" spans="1:12" x14ac:dyDescent="0.3">
      <c r="A9" s="1" t="s">
        <v>31</v>
      </c>
      <c r="B9" s="4">
        <v>45400</v>
      </c>
      <c r="C9" s="1" t="s">
        <v>32</v>
      </c>
      <c r="D9" s="1" t="s">
        <v>33</v>
      </c>
      <c r="E9">
        <v>6</v>
      </c>
      <c r="F9">
        <v>78.92</v>
      </c>
      <c r="G9">
        <v>473.52</v>
      </c>
      <c r="H9">
        <v>142.05599999999998</v>
      </c>
      <c r="I9" s="1" t="s">
        <v>19</v>
      </c>
      <c r="J9">
        <v>18</v>
      </c>
      <c r="K9" s="1" t="s">
        <v>1496</v>
      </c>
      <c r="L9">
        <v>2024</v>
      </c>
    </row>
    <row r="10" spans="1:12" x14ac:dyDescent="0.3">
      <c r="A10" s="1" t="s">
        <v>34</v>
      </c>
      <c r="B10" s="4">
        <v>45824</v>
      </c>
      <c r="C10" s="1" t="s">
        <v>35</v>
      </c>
      <c r="D10" s="1" t="s">
        <v>30</v>
      </c>
      <c r="E10">
        <v>1</v>
      </c>
      <c r="F10">
        <v>74.61</v>
      </c>
      <c r="G10">
        <v>74.61</v>
      </c>
      <c r="H10">
        <v>22.382999999999999</v>
      </c>
      <c r="I10" s="1" t="s">
        <v>36</v>
      </c>
      <c r="J10">
        <v>16</v>
      </c>
      <c r="K10" s="1" t="s">
        <v>1497</v>
      </c>
      <c r="L10">
        <v>2025</v>
      </c>
    </row>
    <row r="11" spans="1:12" x14ac:dyDescent="0.3">
      <c r="A11" s="1" t="s">
        <v>37</v>
      </c>
      <c r="B11" s="4">
        <v>45847</v>
      </c>
      <c r="C11" s="1" t="s">
        <v>38</v>
      </c>
      <c r="D11" s="1" t="s">
        <v>39</v>
      </c>
      <c r="E11">
        <v>1</v>
      </c>
      <c r="F11">
        <v>18.850000000000001</v>
      </c>
      <c r="G11">
        <v>18.850000000000001</v>
      </c>
      <c r="H11">
        <v>5.6550000000000002</v>
      </c>
      <c r="I11" s="1" t="s">
        <v>11</v>
      </c>
      <c r="J11">
        <v>9</v>
      </c>
      <c r="K11" s="1" t="s">
        <v>1498</v>
      </c>
      <c r="L11">
        <v>2025</v>
      </c>
    </row>
    <row r="12" spans="1:12" x14ac:dyDescent="0.3">
      <c r="A12" s="1" t="s">
        <v>40</v>
      </c>
      <c r="B12" s="4">
        <v>45297</v>
      </c>
      <c r="C12" s="1" t="s">
        <v>41</v>
      </c>
      <c r="D12" s="1" t="s">
        <v>42</v>
      </c>
      <c r="E12">
        <v>8</v>
      </c>
      <c r="F12">
        <v>165.9</v>
      </c>
      <c r="G12">
        <v>1327.2</v>
      </c>
      <c r="H12">
        <v>398.16</v>
      </c>
      <c r="I12" s="1" t="s">
        <v>15</v>
      </c>
      <c r="J12">
        <v>6</v>
      </c>
      <c r="K12" s="1" t="s">
        <v>1493</v>
      </c>
      <c r="L12">
        <v>2024</v>
      </c>
    </row>
    <row r="13" spans="1:12" x14ac:dyDescent="0.3">
      <c r="A13" s="1" t="s">
        <v>43</v>
      </c>
      <c r="B13" s="4">
        <v>45898</v>
      </c>
      <c r="C13" s="1" t="s">
        <v>44</v>
      </c>
      <c r="D13" s="1" t="s">
        <v>45</v>
      </c>
      <c r="E13">
        <v>2</v>
      </c>
      <c r="F13">
        <v>24.62</v>
      </c>
      <c r="G13">
        <v>49.24</v>
      </c>
      <c r="H13">
        <v>14.772</v>
      </c>
      <c r="I13" s="1" t="s">
        <v>15</v>
      </c>
      <c r="J13">
        <v>29</v>
      </c>
      <c r="K13" s="1" t="s">
        <v>1499</v>
      </c>
      <c r="L13">
        <v>2025</v>
      </c>
    </row>
    <row r="14" spans="1:12" x14ac:dyDescent="0.3">
      <c r="A14" s="1" t="s">
        <v>46</v>
      </c>
      <c r="B14" s="4">
        <v>45725</v>
      </c>
      <c r="C14" s="1" t="s">
        <v>47</v>
      </c>
      <c r="D14" s="1" t="s">
        <v>48</v>
      </c>
      <c r="E14">
        <v>6</v>
      </c>
      <c r="F14">
        <v>17.64</v>
      </c>
      <c r="G14">
        <v>105.84</v>
      </c>
      <c r="H14">
        <v>31.751999999999999</v>
      </c>
      <c r="I14" s="1" t="s">
        <v>36</v>
      </c>
      <c r="J14">
        <v>9</v>
      </c>
      <c r="K14" s="1" t="s">
        <v>1491</v>
      </c>
      <c r="L14">
        <v>2025</v>
      </c>
    </row>
    <row r="15" spans="1:12" x14ac:dyDescent="0.3">
      <c r="A15" s="1" t="s">
        <v>49</v>
      </c>
      <c r="B15" s="4">
        <v>45712</v>
      </c>
      <c r="C15" s="1" t="s">
        <v>50</v>
      </c>
      <c r="D15" s="1" t="s">
        <v>51</v>
      </c>
      <c r="E15">
        <v>1</v>
      </c>
      <c r="F15">
        <v>64.62</v>
      </c>
      <c r="G15">
        <v>64.62</v>
      </c>
      <c r="H15">
        <v>19.385999999999999</v>
      </c>
      <c r="I15" s="1" t="s">
        <v>19</v>
      </c>
      <c r="J15">
        <v>24</v>
      </c>
      <c r="K15" s="1" t="s">
        <v>1494</v>
      </c>
      <c r="L15">
        <v>2025</v>
      </c>
    </row>
    <row r="16" spans="1:12" x14ac:dyDescent="0.3">
      <c r="A16" s="1" t="s">
        <v>52</v>
      </c>
      <c r="B16" s="4">
        <v>45524</v>
      </c>
      <c r="C16" s="1" t="s">
        <v>53</v>
      </c>
      <c r="D16" s="1" t="s">
        <v>54</v>
      </c>
      <c r="E16">
        <v>2</v>
      </c>
      <c r="F16">
        <v>28.55</v>
      </c>
      <c r="G16">
        <v>57.1</v>
      </c>
      <c r="H16">
        <v>17.13</v>
      </c>
      <c r="I16" s="1" t="s">
        <v>36</v>
      </c>
      <c r="J16">
        <v>20</v>
      </c>
      <c r="K16" s="1" t="s">
        <v>1499</v>
      </c>
      <c r="L16">
        <v>2024</v>
      </c>
    </row>
    <row r="17" spans="1:12" x14ac:dyDescent="0.3">
      <c r="A17" s="1" t="s">
        <v>55</v>
      </c>
      <c r="B17" s="4">
        <v>45362</v>
      </c>
      <c r="C17" s="1" t="s">
        <v>56</v>
      </c>
      <c r="D17" s="1" t="s">
        <v>57</v>
      </c>
      <c r="E17">
        <v>10</v>
      </c>
      <c r="F17">
        <v>38.93</v>
      </c>
      <c r="G17">
        <v>389.3</v>
      </c>
      <c r="H17">
        <v>116.78999999999999</v>
      </c>
      <c r="I17" s="1" t="s">
        <v>11</v>
      </c>
      <c r="J17">
        <v>11</v>
      </c>
      <c r="K17" s="1" t="s">
        <v>1491</v>
      </c>
      <c r="L17">
        <v>2024</v>
      </c>
    </row>
    <row r="18" spans="1:12" x14ac:dyDescent="0.3">
      <c r="A18" s="1" t="s">
        <v>58</v>
      </c>
      <c r="B18" s="4">
        <v>45444</v>
      </c>
      <c r="C18" s="1" t="s">
        <v>59</v>
      </c>
      <c r="D18" s="1" t="s">
        <v>60</v>
      </c>
      <c r="E18">
        <v>2</v>
      </c>
      <c r="F18">
        <v>107.88</v>
      </c>
      <c r="G18">
        <v>215.76</v>
      </c>
      <c r="H18">
        <v>64.727999999999994</v>
      </c>
      <c r="I18" s="1" t="s">
        <v>19</v>
      </c>
      <c r="J18">
        <v>1</v>
      </c>
      <c r="K18" s="1" t="s">
        <v>1497</v>
      </c>
      <c r="L18">
        <v>2024</v>
      </c>
    </row>
    <row r="19" spans="1:12" x14ac:dyDescent="0.3">
      <c r="A19" s="1" t="s">
        <v>61</v>
      </c>
      <c r="B19" s="4">
        <v>45772</v>
      </c>
      <c r="C19" s="1" t="s">
        <v>62</v>
      </c>
      <c r="D19" s="1" t="s">
        <v>24</v>
      </c>
      <c r="E19">
        <v>2</v>
      </c>
      <c r="F19">
        <v>134.32</v>
      </c>
      <c r="G19">
        <v>268.64</v>
      </c>
      <c r="H19">
        <v>80.591999999999999</v>
      </c>
      <c r="I19" s="1" t="s">
        <v>36</v>
      </c>
      <c r="J19">
        <v>25</v>
      </c>
      <c r="K19" s="1" t="s">
        <v>1496</v>
      </c>
      <c r="L19">
        <v>2025</v>
      </c>
    </row>
    <row r="20" spans="1:12" x14ac:dyDescent="0.3">
      <c r="A20" s="1" t="s">
        <v>63</v>
      </c>
      <c r="B20" s="4">
        <v>45880</v>
      </c>
      <c r="C20" s="1" t="s">
        <v>64</v>
      </c>
      <c r="D20" s="1" t="s">
        <v>39</v>
      </c>
      <c r="E20">
        <v>5</v>
      </c>
      <c r="F20">
        <v>18.850000000000001</v>
      </c>
      <c r="G20">
        <v>94.25</v>
      </c>
      <c r="H20">
        <v>28.274999999999999</v>
      </c>
      <c r="I20" s="1" t="s">
        <v>36</v>
      </c>
      <c r="J20">
        <v>11</v>
      </c>
      <c r="K20" s="1" t="s">
        <v>1499</v>
      </c>
      <c r="L20">
        <v>2025</v>
      </c>
    </row>
    <row r="21" spans="1:12" x14ac:dyDescent="0.3">
      <c r="A21" s="1" t="s">
        <v>65</v>
      </c>
      <c r="B21" s="4">
        <v>45969</v>
      </c>
      <c r="C21" s="1" t="s">
        <v>66</v>
      </c>
      <c r="D21" s="1" t="s">
        <v>67</v>
      </c>
      <c r="E21">
        <v>1</v>
      </c>
      <c r="F21">
        <v>29.94</v>
      </c>
      <c r="G21">
        <v>29.94</v>
      </c>
      <c r="H21">
        <v>8.9819999999999993</v>
      </c>
      <c r="I21" s="1" t="s">
        <v>15</v>
      </c>
      <c r="J21">
        <v>8</v>
      </c>
      <c r="K21" s="1" t="s">
        <v>1500</v>
      </c>
      <c r="L21">
        <v>2025</v>
      </c>
    </row>
    <row r="22" spans="1:12" x14ac:dyDescent="0.3">
      <c r="A22" s="1" t="s">
        <v>68</v>
      </c>
      <c r="B22" s="4">
        <v>45910</v>
      </c>
      <c r="C22" s="1" t="s">
        <v>69</v>
      </c>
      <c r="D22" s="1" t="s">
        <v>24</v>
      </c>
      <c r="E22">
        <v>10</v>
      </c>
      <c r="F22">
        <v>134.32</v>
      </c>
      <c r="G22">
        <v>1343.2</v>
      </c>
      <c r="H22">
        <v>402.96</v>
      </c>
      <c r="I22" s="1" t="s">
        <v>19</v>
      </c>
      <c r="J22">
        <v>10</v>
      </c>
      <c r="K22" s="1" t="s">
        <v>1501</v>
      </c>
      <c r="L22">
        <v>2025</v>
      </c>
    </row>
    <row r="23" spans="1:12" x14ac:dyDescent="0.3">
      <c r="A23" s="1" t="s">
        <v>70</v>
      </c>
      <c r="B23" s="4">
        <v>45653</v>
      </c>
      <c r="C23" s="1" t="s">
        <v>71</v>
      </c>
      <c r="D23" s="1" t="s">
        <v>72</v>
      </c>
      <c r="E23">
        <v>1</v>
      </c>
      <c r="F23">
        <v>134.61000000000001</v>
      </c>
      <c r="G23">
        <v>134.61000000000001</v>
      </c>
      <c r="H23">
        <v>40.383000000000003</v>
      </c>
      <c r="I23" s="1" t="s">
        <v>19</v>
      </c>
      <c r="J23">
        <v>27</v>
      </c>
      <c r="K23" s="1" t="s">
        <v>1495</v>
      </c>
      <c r="L23">
        <v>2024</v>
      </c>
    </row>
    <row r="24" spans="1:12" x14ac:dyDescent="0.3">
      <c r="A24" s="1" t="s">
        <v>73</v>
      </c>
      <c r="B24" s="4">
        <v>45961</v>
      </c>
      <c r="C24" s="1" t="s">
        <v>74</v>
      </c>
      <c r="D24" s="1" t="s">
        <v>75</v>
      </c>
      <c r="E24">
        <v>7</v>
      </c>
      <c r="F24">
        <v>49.95</v>
      </c>
      <c r="G24">
        <v>349.65</v>
      </c>
      <c r="H24">
        <v>104.895</v>
      </c>
      <c r="I24" s="1" t="s">
        <v>11</v>
      </c>
      <c r="J24">
        <v>31</v>
      </c>
      <c r="K24" s="1" t="s">
        <v>1490</v>
      </c>
      <c r="L24">
        <v>2025</v>
      </c>
    </row>
    <row r="25" spans="1:12" x14ac:dyDescent="0.3">
      <c r="A25" s="1" t="s">
        <v>76</v>
      </c>
      <c r="B25" s="4">
        <v>45723</v>
      </c>
      <c r="C25" s="1" t="s">
        <v>77</v>
      </c>
      <c r="D25" s="1" t="s">
        <v>42</v>
      </c>
      <c r="E25">
        <v>2</v>
      </c>
      <c r="F25">
        <v>165.9</v>
      </c>
      <c r="G25">
        <v>331.8</v>
      </c>
      <c r="H25">
        <v>99.54</v>
      </c>
      <c r="I25" s="1" t="s">
        <v>15</v>
      </c>
      <c r="J25">
        <v>7</v>
      </c>
      <c r="K25" s="1" t="s">
        <v>1491</v>
      </c>
      <c r="L25">
        <v>2025</v>
      </c>
    </row>
    <row r="26" spans="1:12" x14ac:dyDescent="0.3">
      <c r="A26" s="1" t="s">
        <v>78</v>
      </c>
      <c r="B26" s="4">
        <v>45846</v>
      </c>
      <c r="C26" s="1" t="s">
        <v>79</v>
      </c>
      <c r="D26" s="1" t="s">
        <v>80</v>
      </c>
      <c r="E26">
        <v>3</v>
      </c>
      <c r="F26">
        <v>48.76</v>
      </c>
      <c r="G26">
        <v>146.28</v>
      </c>
      <c r="H26">
        <v>43.884</v>
      </c>
      <c r="I26" s="1" t="s">
        <v>19</v>
      </c>
      <c r="J26">
        <v>8</v>
      </c>
      <c r="K26" s="1" t="s">
        <v>1498</v>
      </c>
      <c r="L26">
        <v>2025</v>
      </c>
    </row>
    <row r="27" spans="1:12" x14ac:dyDescent="0.3">
      <c r="A27" s="1" t="s">
        <v>81</v>
      </c>
      <c r="B27" s="4">
        <v>45912</v>
      </c>
      <c r="C27" s="1" t="s">
        <v>82</v>
      </c>
      <c r="D27" s="1" t="s">
        <v>83</v>
      </c>
      <c r="E27">
        <v>3</v>
      </c>
      <c r="F27">
        <v>28.49</v>
      </c>
      <c r="G27">
        <v>85.47</v>
      </c>
      <c r="H27">
        <v>25.640999999999998</v>
      </c>
      <c r="I27" s="1" t="s">
        <v>11</v>
      </c>
      <c r="J27">
        <v>12</v>
      </c>
      <c r="K27" s="1" t="s">
        <v>1501</v>
      </c>
      <c r="L27">
        <v>2025</v>
      </c>
    </row>
    <row r="28" spans="1:12" x14ac:dyDescent="0.3">
      <c r="A28" s="1" t="s">
        <v>84</v>
      </c>
      <c r="B28" s="4">
        <v>45886</v>
      </c>
      <c r="C28" s="1" t="s">
        <v>85</v>
      </c>
      <c r="D28" s="1" t="s">
        <v>14</v>
      </c>
      <c r="E28">
        <v>1</v>
      </c>
      <c r="F28">
        <v>86.37</v>
      </c>
      <c r="G28">
        <v>86.37</v>
      </c>
      <c r="H28">
        <v>25.911000000000001</v>
      </c>
      <c r="I28" s="1" t="s">
        <v>19</v>
      </c>
      <c r="J28">
        <v>17</v>
      </c>
      <c r="K28" s="1" t="s">
        <v>1499</v>
      </c>
      <c r="L28">
        <v>2025</v>
      </c>
    </row>
    <row r="29" spans="1:12" x14ac:dyDescent="0.3">
      <c r="A29" s="1" t="s">
        <v>86</v>
      </c>
      <c r="B29" s="4">
        <v>45957</v>
      </c>
      <c r="C29" s="1" t="s">
        <v>87</v>
      </c>
      <c r="D29" s="1" t="s">
        <v>88</v>
      </c>
      <c r="E29">
        <v>9</v>
      </c>
      <c r="F29">
        <v>162.21</v>
      </c>
      <c r="G29">
        <v>1459.89</v>
      </c>
      <c r="H29">
        <v>437.96700000000004</v>
      </c>
      <c r="I29" s="1" t="s">
        <v>36</v>
      </c>
      <c r="J29">
        <v>27</v>
      </c>
      <c r="K29" s="1" t="s">
        <v>1490</v>
      </c>
      <c r="L29">
        <v>2025</v>
      </c>
    </row>
    <row r="30" spans="1:12" x14ac:dyDescent="0.3">
      <c r="A30" s="1" t="s">
        <v>89</v>
      </c>
      <c r="B30" s="4">
        <v>45642</v>
      </c>
      <c r="C30" s="1" t="s">
        <v>90</v>
      </c>
      <c r="D30" s="1" t="s">
        <v>18</v>
      </c>
      <c r="E30">
        <v>6</v>
      </c>
      <c r="F30">
        <v>185.22</v>
      </c>
      <c r="G30">
        <v>1111.32</v>
      </c>
      <c r="H30">
        <v>333.39599999999996</v>
      </c>
      <c r="I30" s="1" t="s">
        <v>15</v>
      </c>
      <c r="J30">
        <v>16</v>
      </c>
      <c r="K30" s="1" t="s">
        <v>1495</v>
      </c>
      <c r="L30">
        <v>2024</v>
      </c>
    </row>
    <row r="31" spans="1:12" x14ac:dyDescent="0.3">
      <c r="A31" s="1" t="s">
        <v>91</v>
      </c>
      <c r="B31" s="4">
        <v>45723</v>
      </c>
      <c r="C31" s="1" t="s">
        <v>92</v>
      </c>
      <c r="D31" s="1" t="s">
        <v>80</v>
      </c>
      <c r="E31">
        <v>10</v>
      </c>
      <c r="F31">
        <v>48.76</v>
      </c>
      <c r="G31">
        <v>487.6</v>
      </c>
      <c r="H31">
        <v>146.28</v>
      </c>
      <c r="I31" s="1" t="s">
        <v>11</v>
      </c>
      <c r="J31">
        <v>7</v>
      </c>
      <c r="K31" s="1" t="s">
        <v>1491</v>
      </c>
      <c r="L31">
        <v>2025</v>
      </c>
    </row>
    <row r="32" spans="1:12" x14ac:dyDescent="0.3">
      <c r="A32" s="1" t="s">
        <v>93</v>
      </c>
      <c r="B32" s="4">
        <v>46008</v>
      </c>
      <c r="C32" s="1" t="s">
        <v>94</v>
      </c>
      <c r="D32" s="1" t="s">
        <v>80</v>
      </c>
      <c r="E32">
        <v>1</v>
      </c>
      <c r="F32">
        <v>48.76</v>
      </c>
      <c r="G32">
        <v>48.76</v>
      </c>
      <c r="H32">
        <v>14.627999999999998</v>
      </c>
      <c r="I32" s="1" t="s">
        <v>15</v>
      </c>
      <c r="J32">
        <v>17</v>
      </c>
      <c r="K32" s="1" t="s">
        <v>1495</v>
      </c>
      <c r="L32">
        <v>2025</v>
      </c>
    </row>
    <row r="33" spans="1:12" x14ac:dyDescent="0.3">
      <c r="A33" s="1" t="s">
        <v>95</v>
      </c>
      <c r="B33" s="4">
        <v>45657</v>
      </c>
      <c r="C33" s="1" t="s">
        <v>96</v>
      </c>
      <c r="D33" s="1" t="s">
        <v>54</v>
      </c>
      <c r="E33">
        <v>2</v>
      </c>
      <c r="F33">
        <v>28.55</v>
      </c>
      <c r="G33">
        <v>57.1</v>
      </c>
      <c r="H33">
        <v>17.13</v>
      </c>
      <c r="I33" s="1" t="s">
        <v>36</v>
      </c>
      <c r="J33">
        <v>31</v>
      </c>
      <c r="K33" s="1" t="s">
        <v>1495</v>
      </c>
      <c r="L33">
        <v>2024</v>
      </c>
    </row>
    <row r="34" spans="1:12" x14ac:dyDescent="0.3">
      <c r="A34" s="1" t="s">
        <v>97</v>
      </c>
      <c r="B34" s="4">
        <v>45877</v>
      </c>
      <c r="C34" s="1" t="s">
        <v>98</v>
      </c>
      <c r="D34" s="1" t="s">
        <v>99</v>
      </c>
      <c r="E34">
        <v>9</v>
      </c>
      <c r="F34">
        <v>162.96</v>
      </c>
      <c r="G34">
        <v>1466.64</v>
      </c>
      <c r="H34">
        <v>439.99200000000002</v>
      </c>
      <c r="I34" s="1" t="s">
        <v>11</v>
      </c>
      <c r="J34">
        <v>8</v>
      </c>
      <c r="K34" s="1" t="s">
        <v>1499</v>
      </c>
      <c r="L34">
        <v>2025</v>
      </c>
    </row>
    <row r="35" spans="1:12" x14ac:dyDescent="0.3">
      <c r="A35" s="1" t="s">
        <v>100</v>
      </c>
      <c r="B35" s="4">
        <v>45748</v>
      </c>
      <c r="C35" s="1" t="s">
        <v>101</v>
      </c>
      <c r="D35" s="1" t="s">
        <v>102</v>
      </c>
      <c r="E35">
        <v>5</v>
      </c>
      <c r="F35">
        <v>41.45</v>
      </c>
      <c r="G35">
        <v>207.25</v>
      </c>
      <c r="H35">
        <v>62.174999999999997</v>
      </c>
      <c r="I35" s="1" t="s">
        <v>19</v>
      </c>
      <c r="J35">
        <v>1</v>
      </c>
      <c r="K35" s="1" t="s">
        <v>1496</v>
      </c>
      <c r="L35">
        <v>2025</v>
      </c>
    </row>
    <row r="36" spans="1:12" x14ac:dyDescent="0.3">
      <c r="A36" s="1" t="s">
        <v>103</v>
      </c>
      <c r="B36" s="4">
        <v>45308</v>
      </c>
      <c r="C36" s="1" t="s">
        <v>104</v>
      </c>
      <c r="D36" s="1" t="s">
        <v>75</v>
      </c>
      <c r="E36">
        <v>8</v>
      </c>
      <c r="F36">
        <v>49.95</v>
      </c>
      <c r="G36">
        <v>399.6</v>
      </c>
      <c r="H36">
        <v>119.88</v>
      </c>
      <c r="I36" s="1" t="s">
        <v>36</v>
      </c>
      <c r="J36">
        <v>17</v>
      </c>
      <c r="K36" s="1" t="s">
        <v>1493</v>
      </c>
      <c r="L36">
        <v>2024</v>
      </c>
    </row>
    <row r="37" spans="1:12" x14ac:dyDescent="0.3">
      <c r="A37" s="1" t="s">
        <v>105</v>
      </c>
      <c r="B37" s="4">
        <v>45528</v>
      </c>
      <c r="C37" s="1" t="s">
        <v>106</v>
      </c>
      <c r="D37" s="1" t="s">
        <v>48</v>
      </c>
      <c r="E37">
        <v>3</v>
      </c>
      <c r="F37">
        <v>17.64</v>
      </c>
      <c r="G37">
        <v>52.92</v>
      </c>
      <c r="H37">
        <v>15.875999999999999</v>
      </c>
      <c r="I37" s="1" t="s">
        <v>15</v>
      </c>
      <c r="J37">
        <v>24</v>
      </c>
      <c r="K37" s="1" t="s">
        <v>1499</v>
      </c>
      <c r="L37">
        <v>2024</v>
      </c>
    </row>
    <row r="38" spans="1:12" x14ac:dyDescent="0.3">
      <c r="A38" s="1" t="s">
        <v>107</v>
      </c>
      <c r="B38" s="4">
        <v>45352</v>
      </c>
      <c r="C38" s="1" t="s">
        <v>108</v>
      </c>
      <c r="D38" s="1" t="s">
        <v>48</v>
      </c>
      <c r="E38">
        <v>3</v>
      </c>
      <c r="F38">
        <v>17.64</v>
      </c>
      <c r="G38">
        <v>52.92</v>
      </c>
      <c r="H38">
        <v>15.875999999999999</v>
      </c>
      <c r="I38" s="1" t="s">
        <v>15</v>
      </c>
      <c r="J38">
        <v>1</v>
      </c>
      <c r="K38" s="1" t="s">
        <v>1491</v>
      </c>
      <c r="L38">
        <v>2024</v>
      </c>
    </row>
    <row r="39" spans="1:12" x14ac:dyDescent="0.3">
      <c r="A39" s="1" t="s">
        <v>109</v>
      </c>
      <c r="B39" s="4">
        <v>45798</v>
      </c>
      <c r="C39" s="1" t="s">
        <v>110</v>
      </c>
      <c r="D39" s="1" t="s">
        <v>111</v>
      </c>
      <c r="E39">
        <v>2</v>
      </c>
      <c r="F39">
        <v>91.3</v>
      </c>
      <c r="G39">
        <v>182.6</v>
      </c>
      <c r="H39">
        <v>54.779999999999994</v>
      </c>
      <c r="I39" s="1" t="s">
        <v>19</v>
      </c>
      <c r="J39">
        <v>21</v>
      </c>
      <c r="K39" s="1" t="s">
        <v>1492</v>
      </c>
      <c r="L39">
        <v>2025</v>
      </c>
    </row>
    <row r="40" spans="1:12" x14ac:dyDescent="0.3">
      <c r="A40" s="1" t="s">
        <v>112</v>
      </c>
      <c r="B40" s="4">
        <v>45941</v>
      </c>
      <c r="C40" s="1" t="s">
        <v>113</v>
      </c>
      <c r="D40" s="1" t="s">
        <v>114</v>
      </c>
      <c r="E40">
        <v>8</v>
      </c>
      <c r="F40">
        <v>195.89</v>
      </c>
      <c r="G40">
        <v>1567.12</v>
      </c>
      <c r="H40">
        <v>470.13599999999997</v>
      </c>
      <c r="I40" s="1" t="s">
        <v>11</v>
      </c>
      <c r="J40">
        <v>11</v>
      </c>
      <c r="K40" s="1" t="s">
        <v>1490</v>
      </c>
      <c r="L40">
        <v>2025</v>
      </c>
    </row>
    <row r="41" spans="1:12" x14ac:dyDescent="0.3">
      <c r="A41" s="1" t="s">
        <v>115</v>
      </c>
      <c r="B41" s="4">
        <v>45612</v>
      </c>
      <c r="C41" s="1" t="s">
        <v>116</v>
      </c>
      <c r="D41" s="1" t="s">
        <v>10</v>
      </c>
      <c r="E41">
        <v>9</v>
      </c>
      <c r="F41">
        <v>112.61</v>
      </c>
      <c r="G41">
        <v>1013.49</v>
      </c>
      <c r="H41">
        <v>304.04699999999997</v>
      </c>
      <c r="I41" s="1" t="s">
        <v>11</v>
      </c>
      <c r="J41">
        <v>16</v>
      </c>
      <c r="K41" s="1" t="s">
        <v>1500</v>
      </c>
      <c r="L41">
        <v>2024</v>
      </c>
    </row>
    <row r="42" spans="1:12" x14ac:dyDescent="0.3">
      <c r="A42" s="1" t="s">
        <v>117</v>
      </c>
      <c r="B42" s="4">
        <v>45497</v>
      </c>
      <c r="C42" s="1" t="s">
        <v>118</v>
      </c>
      <c r="D42" s="1" t="s">
        <v>48</v>
      </c>
      <c r="E42">
        <v>6</v>
      </c>
      <c r="F42">
        <v>17.64</v>
      </c>
      <c r="G42">
        <v>105.84</v>
      </c>
      <c r="H42">
        <v>31.751999999999999</v>
      </c>
      <c r="I42" s="1" t="s">
        <v>11</v>
      </c>
      <c r="J42">
        <v>24</v>
      </c>
      <c r="K42" s="1" t="s">
        <v>1498</v>
      </c>
      <c r="L42">
        <v>2024</v>
      </c>
    </row>
    <row r="43" spans="1:12" x14ac:dyDescent="0.3">
      <c r="A43" s="1" t="s">
        <v>119</v>
      </c>
      <c r="B43" s="4">
        <v>45512</v>
      </c>
      <c r="C43" s="1" t="s">
        <v>120</v>
      </c>
      <c r="D43" s="1" t="s">
        <v>45</v>
      </c>
      <c r="E43">
        <v>7</v>
      </c>
      <c r="F43">
        <v>24.62</v>
      </c>
      <c r="G43">
        <v>172.34</v>
      </c>
      <c r="H43">
        <v>51.701999999999998</v>
      </c>
      <c r="I43" s="1" t="s">
        <v>19</v>
      </c>
      <c r="J43">
        <v>8</v>
      </c>
      <c r="K43" s="1" t="s">
        <v>1499</v>
      </c>
      <c r="L43">
        <v>2024</v>
      </c>
    </row>
    <row r="44" spans="1:12" x14ac:dyDescent="0.3">
      <c r="A44" s="1" t="s">
        <v>121</v>
      </c>
      <c r="B44" s="4">
        <v>45867</v>
      </c>
      <c r="C44" s="1" t="s">
        <v>122</v>
      </c>
      <c r="D44" s="1" t="s">
        <v>123</v>
      </c>
      <c r="E44">
        <v>5</v>
      </c>
      <c r="F44">
        <v>20.28</v>
      </c>
      <c r="G44">
        <v>101.4</v>
      </c>
      <c r="H44">
        <v>30.42</v>
      </c>
      <c r="I44" s="1" t="s">
        <v>11</v>
      </c>
      <c r="J44">
        <v>29</v>
      </c>
      <c r="K44" s="1" t="s">
        <v>1498</v>
      </c>
      <c r="L44">
        <v>2025</v>
      </c>
    </row>
    <row r="45" spans="1:12" x14ac:dyDescent="0.3">
      <c r="A45" s="1" t="s">
        <v>124</v>
      </c>
      <c r="B45" s="4">
        <v>45676</v>
      </c>
      <c r="C45" s="1" t="s">
        <v>125</v>
      </c>
      <c r="D45" s="1" t="s">
        <v>83</v>
      </c>
      <c r="E45">
        <v>2</v>
      </c>
      <c r="F45">
        <v>28.49</v>
      </c>
      <c r="G45">
        <v>56.98</v>
      </c>
      <c r="H45">
        <v>17.093999999999998</v>
      </c>
      <c r="I45" s="1" t="s">
        <v>19</v>
      </c>
      <c r="J45">
        <v>19</v>
      </c>
      <c r="K45" s="1" t="s">
        <v>1493</v>
      </c>
      <c r="L45">
        <v>2025</v>
      </c>
    </row>
    <row r="46" spans="1:12" x14ac:dyDescent="0.3">
      <c r="A46" s="1" t="s">
        <v>126</v>
      </c>
      <c r="B46" s="4">
        <v>45361</v>
      </c>
      <c r="C46" s="1" t="s">
        <v>127</v>
      </c>
      <c r="D46" s="1" t="s">
        <v>48</v>
      </c>
      <c r="E46">
        <v>3</v>
      </c>
      <c r="F46">
        <v>17.64</v>
      </c>
      <c r="G46">
        <v>52.92</v>
      </c>
      <c r="H46">
        <v>15.875999999999999</v>
      </c>
      <c r="I46" s="1" t="s">
        <v>19</v>
      </c>
      <c r="J46">
        <v>10</v>
      </c>
      <c r="K46" s="1" t="s">
        <v>1491</v>
      </c>
      <c r="L46">
        <v>2024</v>
      </c>
    </row>
    <row r="47" spans="1:12" x14ac:dyDescent="0.3">
      <c r="A47" s="1" t="s">
        <v>128</v>
      </c>
      <c r="B47" s="4">
        <v>45760</v>
      </c>
      <c r="C47" s="1" t="s">
        <v>129</v>
      </c>
      <c r="D47" s="1" t="s">
        <v>24</v>
      </c>
      <c r="E47">
        <v>3</v>
      </c>
      <c r="F47">
        <v>134.32</v>
      </c>
      <c r="G47">
        <v>402.96</v>
      </c>
      <c r="H47">
        <v>120.88799999999999</v>
      </c>
      <c r="I47" s="1" t="s">
        <v>11</v>
      </c>
      <c r="J47">
        <v>13</v>
      </c>
      <c r="K47" s="1" t="s">
        <v>1496</v>
      </c>
      <c r="L47">
        <v>2025</v>
      </c>
    </row>
    <row r="48" spans="1:12" x14ac:dyDescent="0.3">
      <c r="A48" s="1" t="s">
        <v>130</v>
      </c>
      <c r="B48" s="4">
        <v>45846</v>
      </c>
      <c r="C48" s="1" t="s">
        <v>131</v>
      </c>
      <c r="D48" s="1" t="s">
        <v>132</v>
      </c>
      <c r="E48">
        <v>7</v>
      </c>
      <c r="F48">
        <v>52.45</v>
      </c>
      <c r="G48">
        <v>367.15</v>
      </c>
      <c r="H48">
        <v>110.145</v>
      </c>
      <c r="I48" s="1" t="s">
        <v>19</v>
      </c>
      <c r="J48">
        <v>8</v>
      </c>
      <c r="K48" s="1" t="s">
        <v>1498</v>
      </c>
      <c r="L48">
        <v>2025</v>
      </c>
    </row>
    <row r="49" spans="1:12" x14ac:dyDescent="0.3">
      <c r="A49" s="1" t="s">
        <v>133</v>
      </c>
      <c r="B49" s="4">
        <v>45762</v>
      </c>
      <c r="C49" s="1" t="s">
        <v>17</v>
      </c>
      <c r="D49" s="1" t="s">
        <v>54</v>
      </c>
      <c r="E49">
        <v>7</v>
      </c>
      <c r="F49">
        <v>28.55</v>
      </c>
      <c r="G49">
        <v>199.85</v>
      </c>
      <c r="H49">
        <v>59.954999999999998</v>
      </c>
      <c r="I49" s="1" t="s">
        <v>15</v>
      </c>
      <c r="J49">
        <v>15</v>
      </c>
      <c r="K49" s="1" t="s">
        <v>1496</v>
      </c>
      <c r="L49">
        <v>2025</v>
      </c>
    </row>
    <row r="50" spans="1:12" x14ac:dyDescent="0.3">
      <c r="A50" s="1" t="s">
        <v>134</v>
      </c>
      <c r="B50" s="4">
        <v>46010</v>
      </c>
      <c r="C50" s="1" t="s">
        <v>135</v>
      </c>
      <c r="D50" s="1" t="s">
        <v>10</v>
      </c>
      <c r="E50">
        <v>4</v>
      </c>
      <c r="F50">
        <v>112.61</v>
      </c>
      <c r="G50">
        <v>450.44</v>
      </c>
      <c r="H50">
        <v>135.13200000000001</v>
      </c>
      <c r="I50" s="1" t="s">
        <v>15</v>
      </c>
      <c r="J50">
        <v>19</v>
      </c>
      <c r="K50" s="1" t="s">
        <v>1495</v>
      </c>
      <c r="L50">
        <v>2025</v>
      </c>
    </row>
    <row r="51" spans="1:12" x14ac:dyDescent="0.3">
      <c r="A51" s="1" t="s">
        <v>136</v>
      </c>
      <c r="B51" s="4">
        <v>45964</v>
      </c>
      <c r="C51" s="1" t="s">
        <v>137</v>
      </c>
      <c r="D51" s="1" t="s">
        <v>88</v>
      </c>
      <c r="E51">
        <v>10</v>
      </c>
      <c r="F51">
        <v>162.21</v>
      </c>
      <c r="G51">
        <v>1622.1</v>
      </c>
      <c r="H51">
        <v>486.62999999999994</v>
      </c>
      <c r="I51" s="1" t="s">
        <v>15</v>
      </c>
      <c r="J51">
        <v>3</v>
      </c>
      <c r="K51" s="1" t="s">
        <v>1500</v>
      </c>
      <c r="L51">
        <v>2025</v>
      </c>
    </row>
    <row r="52" spans="1:12" x14ac:dyDescent="0.3">
      <c r="A52" s="1" t="s">
        <v>138</v>
      </c>
      <c r="B52" s="4">
        <v>45915</v>
      </c>
      <c r="C52" s="1" t="s">
        <v>139</v>
      </c>
      <c r="D52" s="1" t="s">
        <v>80</v>
      </c>
      <c r="E52">
        <v>5</v>
      </c>
      <c r="F52">
        <v>48.76</v>
      </c>
      <c r="G52">
        <v>243.8</v>
      </c>
      <c r="H52">
        <v>73.14</v>
      </c>
      <c r="I52" s="1" t="s">
        <v>19</v>
      </c>
      <c r="J52">
        <v>15</v>
      </c>
      <c r="K52" s="1" t="s">
        <v>1501</v>
      </c>
      <c r="L52">
        <v>2025</v>
      </c>
    </row>
    <row r="53" spans="1:12" x14ac:dyDescent="0.3">
      <c r="A53" s="1" t="s">
        <v>140</v>
      </c>
      <c r="B53" s="4">
        <v>45624</v>
      </c>
      <c r="C53" s="1" t="s">
        <v>141</v>
      </c>
      <c r="D53" s="1" t="s">
        <v>142</v>
      </c>
      <c r="E53">
        <v>2</v>
      </c>
      <c r="F53">
        <v>52.52</v>
      </c>
      <c r="G53">
        <v>105.04</v>
      </c>
      <c r="H53">
        <v>31.512</v>
      </c>
      <c r="I53" s="1" t="s">
        <v>11</v>
      </c>
      <c r="J53">
        <v>28</v>
      </c>
      <c r="K53" s="1" t="s">
        <v>1500</v>
      </c>
      <c r="L53">
        <v>2024</v>
      </c>
    </row>
    <row r="54" spans="1:12" x14ac:dyDescent="0.3">
      <c r="A54" s="1" t="s">
        <v>143</v>
      </c>
      <c r="B54" s="4">
        <v>45884</v>
      </c>
      <c r="C54" s="1" t="s">
        <v>144</v>
      </c>
      <c r="D54" s="1" t="s">
        <v>145</v>
      </c>
      <c r="E54">
        <v>4</v>
      </c>
      <c r="F54">
        <v>180.47</v>
      </c>
      <c r="G54">
        <v>721.88</v>
      </c>
      <c r="H54">
        <v>216.56399999999999</v>
      </c>
      <c r="I54" s="1" t="s">
        <v>36</v>
      </c>
      <c r="J54">
        <v>15</v>
      </c>
      <c r="K54" s="1" t="s">
        <v>1499</v>
      </c>
      <c r="L54">
        <v>2025</v>
      </c>
    </row>
    <row r="55" spans="1:12" x14ac:dyDescent="0.3">
      <c r="A55" s="1" t="s">
        <v>146</v>
      </c>
      <c r="B55" s="4">
        <v>45519</v>
      </c>
      <c r="C55" s="1" t="s">
        <v>147</v>
      </c>
      <c r="D55" s="1" t="s">
        <v>148</v>
      </c>
      <c r="E55">
        <v>3</v>
      </c>
      <c r="F55">
        <v>118.95</v>
      </c>
      <c r="G55">
        <v>356.85</v>
      </c>
      <c r="H55">
        <v>107.05500000000001</v>
      </c>
      <c r="I55" s="1" t="s">
        <v>36</v>
      </c>
      <c r="J55">
        <v>15</v>
      </c>
      <c r="K55" s="1" t="s">
        <v>1499</v>
      </c>
      <c r="L55">
        <v>2024</v>
      </c>
    </row>
    <row r="56" spans="1:12" x14ac:dyDescent="0.3">
      <c r="A56" s="1" t="s">
        <v>149</v>
      </c>
      <c r="B56" s="4">
        <v>45536</v>
      </c>
      <c r="C56" s="1" t="s">
        <v>150</v>
      </c>
      <c r="D56" s="1" t="s">
        <v>151</v>
      </c>
      <c r="E56">
        <v>5</v>
      </c>
      <c r="F56">
        <v>89.88</v>
      </c>
      <c r="G56">
        <v>449.4</v>
      </c>
      <c r="H56">
        <v>134.82</v>
      </c>
      <c r="I56" s="1" t="s">
        <v>15</v>
      </c>
      <c r="J56">
        <v>1</v>
      </c>
      <c r="K56" s="1" t="s">
        <v>1501</v>
      </c>
      <c r="L56">
        <v>2024</v>
      </c>
    </row>
    <row r="57" spans="1:12" x14ac:dyDescent="0.3">
      <c r="A57" s="1" t="s">
        <v>152</v>
      </c>
      <c r="B57" s="4">
        <v>45710</v>
      </c>
      <c r="C57" s="1" t="s">
        <v>118</v>
      </c>
      <c r="D57" s="1" t="s">
        <v>153</v>
      </c>
      <c r="E57">
        <v>2</v>
      </c>
      <c r="F57">
        <v>60.32</v>
      </c>
      <c r="G57">
        <v>120.64</v>
      </c>
      <c r="H57">
        <v>36.192</v>
      </c>
      <c r="I57" s="1" t="s">
        <v>19</v>
      </c>
      <c r="J57">
        <v>22</v>
      </c>
      <c r="K57" s="1" t="s">
        <v>1494</v>
      </c>
      <c r="L57">
        <v>2025</v>
      </c>
    </row>
    <row r="58" spans="1:12" x14ac:dyDescent="0.3">
      <c r="A58" s="1" t="s">
        <v>154</v>
      </c>
      <c r="B58" s="4">
        <v>45373</v>
      </c>
      <c r="C58" s="1" t="s">
        <v>155</v>
      </c>
      <c r="D58" s="1" t="s">
        <v>156</v>
      </c>
      <c r="E58">
        <v>3</v>
      </c>
      <c r="F58">
        <v>182.55</v>
      </c>
      <c r="G58">
        <v>547.65</v>
      </c>
      <c r="H58">
        <v>164.29499999999999</v>
      </c>
      <c r="I58" s="1" t="s">
        <v>19</v>
      </c>
      <c r="J58">
        <v>22</v>
      </c>
      <c r="K58" s="1" t="s">
        <v>1491</v>
      </c>
      <c r="L58">
        <v>2024</v>
      </c>
    </row>
    <row r="59" spans="1:12" x14ac:dyDescent="0.3">
      <c r="A59" s="1" t="s">
        <v>157</v>
      </c>
      <c r="B59" s="4">
        <v>45464</v>
      </c>
      <c r="C59" s="1" t="s">
        <v>158</v>
      </c>
      <c r="D59" s="1" t="s">
        <v>153</v>
      </c>
      <c r="E59">
        <v>5</v>
      </c>
      <c r="F59">
        <v>60.32</v>
      </c>
      <c r="G59">
        <v>301.60000000000002</v>
      </c>
      <c r="H59">
        <v>90.48</v>
      </c>
      <c r="I59" s="1" t="s">
        <v>15</v>
      </c>
      <c r="J59">
        <v>21</v>
      </c>
      <c r="K59" s="1" t="s">
        <v>1497</v>
      </c>
      <c r="L59">
        <v>2024</v>
      </c>
    </row>
    <row r="60" spans="1:12" x14ac:dyDescent="0.3">
      <c r="A60" s="1" t="s">
        <v>159</v>
      </c>
      <c r="B60" s="4">
        <v>45615</v>
      </c>
      <c r="C60" s="1" t="s">
        <v>160</v>
      </c>
      <c r="D60" s="1" t="s">
        <v>18</v>
      </c>
      <c r="E60">
        <v>2</v>
      </c>
      <c r="F60">
        <v>185.22</v>
      </c>
      <c r="G60">
        <v>370.44</v>
      </c>
      <c r="H60">
        <v>111.13199999999999</v>
      </c>
      <c r="I60" s="1" t="s">
        <v>19</v>
      </c>
      <c r="J60">
        <v>19</v>
      </c>
      <c r="K60" s="1" t="s">
        <v>1500</v>
      </c>
      <c r="L60">
        <v>2024</v>
      </c>
    </row>
    <row r="61" spans="1:12" x14ac:dyDescent="0.3">
      <c r="A61" s="1" t="s">
        <v>161</v>
      </c>
      <c r="B61" s="4">
        <v>45317</v>
      </c>
      <c r="C61" s="1" t="s">
        <v>162</v>
      </c>
      <c r="D61" s="1" t="s">
        <v>75</v>
      </c>
      <c r="E61">
        <v>8</v>
      </c>
      <c r="F61">
        <v>49.95</v>
      </c>
      <c r="G61">
        <v>399.6</v>
      </c>
      <c r="H61">
        <v>119.88</v>
      </c>
      <c r="I61" s="1" t="s">
        <v>36</v>
      </c>
      <c r="J61">
        <v>26</v>
      </c>
      <c r="K61" s="1" t="s">
        <v>1493</v>
      </c>
      <c r="L61">
        <v>2024</v>
      </c>
    </row>
    <row r="62" spans="1:12" x14ac:dyDescent="0.3">
      <c r="A62" s="1" t="s">
        <v>163</v>
      </c>
      <c r="B62" s="4">
        <v>45371</v>
      </c>
      <c r="C62" s="1" t="s">
        <v>164</v>
      </c>
      <c r="D62" s="1" t="s">
        <v>165</v>
      </c>
      <c r="E62">
        <v>7</v>
      </c>
      <c r="F62">
        <v>29.47</v>
      </c>
      <c r="G62">
        <v>206.29</v>
      </c>
      <c r="H62">
        <v>61.886999999999993</v>
      </c>
      <c r="I62" s="1" t="s">
        <v>36</v>
      </c>
      <c r="J62">
        <v>20</v>
      </c>
      <c r="K62" s="1" t="s">
        <v>1491</v>
      </c>
      <c r="L62">
        <v>2024</v>
      </c>
    </row>
    <row r="63" spans="1:12" x14ac:dyDescent="0.3">
      <c r="A63" s="1" t="s">
        <v>166</v>
      </c>
      <c r="B63" s="4">
        <v>45880</v>
      </c>
      <c r="C63" s="1" t="s">
        <v>167</v>
      </c>
      <c r="D63" s="1" t="s">
        <v>75</v>
      </c>
      <c r="E63">
        <v>4</v>
      </c>
      <c r="F63">
        <v>49.95</v>
      </c>
      <c r="G63">
        <v>199.8</v>
      </c>
      <c r="H63">
        <v>59.94</v>
      </c>
      <c r="I63" s="1" t="s">
        <v>19</v>
      </c>
      <c r="J63">
        <v>11</v>
      </c>
      <c r="K63" s="1" t="s">
        <v>1499</v>
      </c>
      <c r="L63">
        <v>2025</v>
      </c>
    </row>
    <row r="64" spans="1:12" x14ac:dyDescent="0.3">
      <c r="A64" s="1" t="s">
        <v>168</v>
      </c>
      <c r="B64" s="4">
        <v>45421</v>
      </c>
      <c r="C64" s="1" t="s">
        <v>169</v>
      </c>
      <c r="D64" s="1" t="s">
        <v>10</v>
      </c>
      <c r="E64">
        <v>5</v>
      </c>
      <c r="F64">
        <v>112.61</v>
      </c>
      <c r="G64">
        <v>563.04999999999995</v>
      </c>
      <c r="H64">
        <v>168.91499999999999</v>
      </c>
      <c r="I64" s="1" t="s">
        <v>19</v>
      </c>
      <c r="J64">
        <v>9</v>
      </c>
      <c r="K64" s="1" t="s">
        <v>1492</v>
      </c>
      <c r="L64">
        <v>2024</v>
      </c>
    </row>
    <row r="65" spans="1:12" x14ac:dyDescent="0.3">
      <c r="A65" s="1" t="s">
        <v>170</v>
      </c>
      <c r="B65" s="4">
        <v>45927</v>
      </c>
      <c r="C65" s="1" t="s">
        <v>171</v>
      </c>
      <c r="D65" s="1" t="s">
        <v>114</v>
      </c>
      <c r="E65">
        <v>10</v>
      </c>
      <c r="F65">
        <v>195.89</v>
      </c>
      <c r="G65">
        <v>1958.9</v>
      </c>
      <c r="H65">
        <v>587.66999999999996</v>
      </c>
      <c r="I65" s="1" t="s">
        <v>11</v>
      </c>
      <c r="J65">
        <v>27</v>
      </c>
      <c r="K65" s="1" t="s">
        <v>1501</v>
      </c>
      <c r="L65">
        <v>2025</v>
      </c>
    </row>
    <row r="66" spans="1:12" x14ac:dyDescent="0.3">
      <c r="A66" s="1" t="s">
        <v>172</v>
      </c>
      <c r="B66" s="4">
        <v>45924</v>
      </c>
      <c r="C66" s="1" t="s">
        <v>173</v>
      </c>
      <c r="D66" s="1" t="s">
        <v>67</v>
      </c>
      <c r="E66">
        <v>4</v>
      </c>
      <c r="F66">
        <v>29.94</v>
      </c>
      <c r="G66">
        <v>119.76</v>
      </c>
      <c r="H66">
        <v>35.927999999999997</v>
      </c>
      <c r="I66" s="1" t="s">
        <v>15</v>
      </c>
      <c r="J66">
        <v>24</v>
      </c>
      <c r="K66" s="1" t="s">
        <v>1501</v>
      </c>
      <c r="L66">
        <v>2025</v>
      </c>
    </row>
    <row r="67" spans="1:12" x14ac:dyDescent="0.3">
      <c r="A67" s="1" t="s">
        <v>174</v>
      </c>
      <c r="B67" s="4">
        <v>45770</v>
      </c>
      <c r="C67" s="1" t="s">
        <v>175</v>
      </c>
      <c r="D67" s="1" t="s">
        <v>176</v>
      </c>
      <c r="E67">
        <v>3</v>
      </c>
      <c r="F67">
        <v>68.41</v>
      </c>
      <c r="G67">
        <v>205.23</v>
      </c>
      <c r="H67">
        <v>61.568999999999996</v>
      </c>
      <c r="I67" s="1" t="s">
        <v>11</v>
      </c>
      <c r="J67">
        <v>23</v>
      </c>
      <c r="K67" s="1" t="s">
        <v>1496</v>
      </c>
      <c r="L67">
        <v>2025</v>
      </c>
    </row>
    <row r="68" spans="1:12" x14ac:dyDescent="0.3">
      <c r="A68" s="1" t="s">
        <v>177</v>
      </c>
      <c r="B68" s="4">
        <v>45520</v>
      </c>
      <c r="C68" s="1" t="s">
        <v>178</v>
      </c>
      <c r="D68" s="1" t="s">
        <v>153</v>
      </c>
      <c r="E68">
        <v>3</v>
      </c>
      <c r="F68">
        <v>60.32</v>
      </c>
      <c r="G68">
        <v>180.96</v>
      </c>
      <c r="H68">
        <v>54.288000000000004</v>
      </c>
      <c r="I68" s="1" t="s">
        <v>11</v>
      </c>
      <c r="J68">
        <v>16</v>
      </c>
      <c r="K68" s="1" t="s">
        <v>1499</v>
      </c>
      <c r="L68">
        <v>2024</v>
      </c>
    </row>
    <row r="69" spans="1:12" x14ac:dyDescent="0.3">
      <c r="A69" s="1" t="s">
        <v>179</v>
      </c>
      <c r="B69" s="4">
        <v>45727</v>
      </c>
      <c r="C69" s="1" t="s">
        <v>180</v>
      </c>
      <c r="D69" s="1" t="s">
        <v>45</v>
      </c>
      <c r="E69">
        <v>8</v>
      </c>
      <c r="F69">
        <v>24.62</v>
      </c>
      <c r="G69">
        <v>196.96</v>
      </c>
      <c r="H69">
        <v>59.088000000000001</v>
      </c>
      <c r="I69" s="1" t="s">
        <v>19</v>
      </c>
      <c r="J69">
        <v>11</v>
      </c>
      <c r="K69" s="1" t="s">
        <v>1491</v>
      </c>
      <c r="L69">
        <v>2025</v>
      </c>
    </row>
    <row r="70" spans="1:12" x14ac:dyDescent="0.3">
      <c r="A70" s="1" t="s">
        <v>181</v>
      </c>
      <c r="B70" s="4">
        <v>45889</v>
      </c>
      <c r="C70" s="1" t="s">
        <v>182</v>
      </c>
      <c r="D70" s="1" t="s">
        <v>183</v>
      </c>
      <c r="E70">
        <v>8</v>
      </c>
      <c r="F70">
        <v>12.47</v>
      </c>
      <c r="G70">
        <v>99.76</v>
      </c>
      <c r="H70">
        <v>29.928000000000001</v>
      </c>
      <c r="I70" s="1" t="s">
        <v>36</v>
      </c>
      <c r="J70">
        <v>20</v>
      </c>
      <c r="K70" s="1" t="s">
        <v>1499</v>
      </c>
      <c r="L70">
        <v>2025</v>
      </c>
    </row>
    <row r="71" spans="1:12" x14ac:dyDescent="0.3">
      <c r="A71" s="1" t="s">
        <v>184</v>
      </c>
      <c r="B71" s="4">
        <v>45460</v>
      </c>
      <c r="C71" s="1" t="s">
        <v>85</v>
      </c>
      <c r="D71" s="1" t="s">
        <v>14</v>
      </c>
      <c r="E71">
        <v>1</v>
      </c>
      <c r="F71">
        <v>86.37</v>
      </c>
      <c r="G71">
        <v>86.37</v>
      </c>
      <c r="H71">
        <v>25.911000000000001</v>
      </c>
      <c r="I71" s="1" t="s">
        <v>36</v>
      </c>
      <c r="J71">
        <v>17</v>
      </c>
      <c r="K71" s="1" t="s">
        <v>1497</v>
      </c>
      <c r="L71">
        <v>2024</v>
      </c>
    </row>
    <row r="72" spans="1:12" x14ac:dyDescent="0.3">
      <c r="A72" s="1" t="s">
        <v>185</v>
      </c>
      <c r="B72" s="4">
        <v>45469</v>
      </c>
      <c r="C72" s="1" t="s">
        <v>186</v>
      </c>
      <c r="D72" s="1" t="s">
        <v>176</v>
      </c>
      <c r="E72">
        <v>5</v>
      </c>
      <c r="F72">
        <v>68.41</v>
      </c>
      <c r="G72">
        <v>342.05</v>
      </c>
      <c r="H72">
        <v>102.61499999999999</v>
      </c>
      <c r="I72" s="1" t="s">
        <v>15</v>
      </c>
      <c r="J72">
        <v>26</v>
      </c>
      <c r="K72" s="1" t="s">
        <v>1497</v>
      </c>
      <c r="L72">
        <v>2024</v>
      </c>
    </row>
    <row r="73" spans="1:12" x14ac:dyDescent="0.3">
      <c r="A73" s="1" t="s">
        <v>187</v>
      </c>
      <c r="B73" s="4">
        <v>45746</v>
      </c>
      <c r="C73" s="1" t="s">
        <v>188</v>
      </c>
      <c r="D73" s="1" t="s">
        <v>145</v>
      </c>
      <c r="E73">
        <v>5</v>
      </c>
      <c r="F73">
        <v>180.47</v>
      </c>
      <c r="G73">
        <v>902.35</v>
      </c>
      <c r="H73">
        <v>270.70499999999998</v>
      </c>
      <c r="I73" s="1" t="s">
        <v>15</v>
      </c>
      <c r="J73">
        <v>30</v>
      </c>
      <c r="K73" s="1" t="s">
        <v>1491</v>
      </c>
      <c r="L73">
        <v>2025</v>
      </c>
    </row>
    <row r="74" spans="1:12" x14ac:dyDescent="0.3">
      <c r="A74" s="1" t="s">
        <v>189</v>
      </c>
      <c r="B74" s="4">
        <v>45827</v>
      </c>
      <c r="C74" s="1" t="s">
        <v>190</v>
      </c>
      <c r="D74" s="1" t="s">
        <v>99</v>
      </c>
      <c r="E74">
        <v>5</v>
      </c>
      <c r="F74">
        <v>162.96</v>
      </c>
      <c r="G74">
        <v>814.8</v>
      </c>
      <c r="H74">
        <v>244.43999999999997</v>
      </c>
      <c r="I74" s="1" t="s">
        <v>11</v>
      </c>
      <c r="J74">
        <v>19</v>
      </c>
      <c r="K74" s="1" t="s">
        <v>1497</v>
      </c>
      <c r="L74">
        <v>2025</v>
      </c>
    </row>
    <row r="75" spans="1:12" x14ac:dyDescent="0.3">
      <c r="A75" s="1" t="s">
        <v>191</v>
      </c>
      <c r="B75" s="4">
        <v>45706</v>
      </c>
      <c r="C75" s="1" t="s">
        <v>192</v>
      </c>
      <c r="D75" s="1" t="s">
        <v>193</v>
      </c>
      <c r="E75">
        <v>3</v>
      </c>
      <c r="F75">
        <v>157.13</v>
      </c>
      <c r="G75">
        <v>471.39</v>
      </c>
      <c r="H75">
        <v>141.417</v>
      </c>
      <c r="I75" s="1" t="s">
        <v>36</v>
      </c>
      <c r="J75">
        <v>18</v>
      </c>
      <c r="K75" s="1" t="s">
        <v>1494</v>
      </c>
      <c r="L75">
        <v>2025</v>
      </c>
    </row>
    <row r="76" spans="1:12" x14ac:dyDescent="0.3">
      <c r="A76" s="1" t="s">
        <v>194</v>
      </c>
      <c r="B76" s="4">
        <v>45518</v>
      </c>
      <c r="C76" s="1" t="s">
        <v>195</v>
      </c>
      <c r="D76" s="1" t="s">
        <v>132</v>
      </c>
      <c r="E76">
        <v>2</v>
      </c>
      <c r="F76">
        <v>52.45</v>
      </c>
      <c r="G76">
        <v>104.9</v>
      </c>
      <c r="H76">
        <v>31.47</v>
      </c>
      <c r="I76" s="1" t="s">
        <v>11</v>
      </c>
      <c r="J76">
        <v>14</v>
      </c>
      <c r="K76" s="1" t="s">
        <v>1499</v>
      </c>
      <c r="L76">
        <v>2024</v>
      </c>
    </row>
    <row r="77" spans="1:12" x14ac:dyDescent="0.3">
      <c r="A77" s="1" t="s">
        <v>196</v>
      </c>
      <c r="B77" s="4">
        <v>45831</v>
      </c>
      <c r="C77" s="1" t="s">
        <v>197</v>
      </c>
      <c r="D77" s="1" t="s">
        <v>45</v>
      </c>
      <c r="E77">
        <v>6</v>
      </c>
      <c r="F77">
        <v>24.62</v>
      </c>
      <c r="G77">
        <v>147.72</v>
      </c>
      <c r="H77">
        <v>44.315999999999995</v>
      </c>
      <c r="I77" s="1" t="s">
        <v>15</v>
      </c>
      <c r="J77">
        <v>23</v>
      </c>
      <c r="K77" s="1" t="s">
        <v>1497</v>
      </c>
      <c r="L77">
        <v>2025</v>
      </c>
    </row>
    <row r="78" spans="1:12" x14ac:dyDescent="0.3">
      <c r="A78" s="1" t="s">
        <v>198</v>
      </c>
      <c r="B78" s="4">
        <v>46004</v>
      </c>
      <c r="C78" s="1" t="s">
        <v>199</v>
      </c>
      <c r="D78" s="1" t="s">
        <v>18</v>
      </c>
      <c r="E78">
        <v>4</v>
      </c>
      <c r="F78">
        <v>185.22</v>
      </c>
      <c r="G78">
        <v>740.88</v>
      </c>
      <c r="H78">
        <v>222.26399999999998</v>
      </c>
      <c r="I78" s="1" t="s">
        <v>19</v>
      </c>
      <c r="J78">
        <v>13</v>
      </c>
      <c r="K78" s="1" t="s">
        <v>1495</v>
      </c>
      <c r="L78">
        <v>2025</v>
      </c>
    </row>
    <row r="79" spans="1:12" x14ac:dyDescent="0.3">
      <c r="A79" s="1" t="s">
        <v>200</v>
      </c>
      <c r="B79" s="4">
        <v>45337</v>
      </c>
      <c r="C79" s="1" t="s">
        <v>147</v>
      </c>
      <c r="D79" s="1" t="s">
        <v>201</v>
      </c>
      <c r="E79">
        <v>1</v>
      </c>
      <c r="F79">
        <v>53.74</v>
      </c>
      <c r="G79">
        <v>53.74</v>
      </c>
      <c r="H79">
        <v>16.122</v>
      </c>
      <c r="I79" s="1" t="s">
        <v>36</v>
      </c>
      <c r="J79">
        <v>15</v>
      </c>
      <c r="K79" s="1" t="s">
        <v>1494</v>
      </c>
      <c r="L79">
        <v>2024</v>
      </c>
    </row>
    <row r="80" spans="1:12" x14ac:dyDescent="0.3">
      <c r="A80" s="1" t="s">
        <v>202</v>
      </c>
      <c r="B80" s="4">
        <v>45703</v>
      </c>
      <c r="C80" s="1" t="s">
        <v>203</v>
      </c>
      <c r="D80" s="1" t="s">
        <v>102</v>
      </c>
      <c r="E80">
        <v>1</v>
      </c>
      <c r="F80">
        <v>41.45</v>
      </c>
      <c r="G80">
        <v>41.45</v>
      </c>
      <c r="H80">
        <v>12.435</v>
      </c>
      <c r="I80" s="1" t="s">
        <v>36</v>
      </c>
      <c r="J80">
        <v>15</v>
      </c>
      <c r="K80" s="1" t="s">
        <v>1494</v>
      </c>
      <c r="L80">
        <v>2025</v>
      </c>
    </row>
    <row r="81" spans="1:12" x14ac:dyDescent="0.3">
      <c r="A81" s="1" t="s">
        <v>204</v>
      </c>
      <c r="B81" s="4">
        <v>45360</v>
      </c>
      <c r="C81" s="1" t="s">
        <v>205</v>
      </c>
      <c r="D81" s="1" t="s">
        <v>54</v>
      </c>
      <c r="E81">
        <v>4</v>
      </c>
      <c r="F81">
        <v>28.55</v>
      </c>
      <c r="G81">
        <v>114.2</v>
      </c>
      <c r="H81">
        <v>34.26</v>
      </c>
      <c r="I81" s="1" t="s">
        <v>36</v>
      </c>
      <c r="J81">
        <v>9</v>
      </c>
      <c r="K81" s="1" t="s">
        <v>1491</v>
      </c>
      <c r="L81">
        <v>2024</v>
      </c>
    </row>
    <row r="82" spans="1:12" x14ac:dyDescent="0.3">
      <c r="A82" s="1" t="s">
        <v>206</v>
      </c>
      <c r="B82" s="4">
        <v>45994</v>
      </c>
      <c r="C82" s="1" t="s">
        <v>207</v>
      </c>
      <c r="D82" s="1" t="s">
        <v>60</v>
      </c>
      <c r="E82">
        <v>3</v>
      </c>
      <c r="F82">
        <v>107.88</v>
      </c>
      <c r="G82">
        <v>323.64</v>
      </c>
      <c r="H82">
        <v>97.091999999999999</v>
      </c>
      <c r="I82" s="1" t="s">
        <v>15</v>
      </c>
      <c r="J82">
        <v>3</v>
      </c>
      <c r="K82" s="1" t="s">
        <v>1495</v>
      </c>
      <c r="L82">
        <v>2025</v>
      </c>
    </row>
    <row r="83" spans="1:12" x14ac:dyDescent="0.3">
      <c r="A83" s="1" t="s">
        <v>208</v>
      </c>
      <c r="B83" s="4">
        <v>45782</v>
      </c>
      <c r="C83" s="1" t="s">
        <v>209</v>
      </c>
      <c r="D83" s="1" t="s">
        <v>10</v>
      </c>
      <c r="E83">
        <v>2</v>
      </c>
      <c r="F83">
        <v>112.61</v>
      </c>
      <c r="G83">
        <v>225.22</v>
      </c>
      <c r="H83">
        <v>67.566000000000003</v>
      </c>
      <c r="I83" s="1" t="s">
        <v>19</v>
      </c>
      <c r="J83">
        <v>5</v>
      </c>
      <c r="K83" s="1" t="s">
        <v>1492</v>
      </c>
      <c r="L83">
        <v>2025</v>
      </c>
    </row>
    <row r="84" spans="1:12" x14ac:dyDescent="0.3">
      <c r="A84" s="1" t="s">
        <v>210</v>
      </c>
      <c r="B84" s="4">
        <v>45354</v>
      </c>
      <c r="C84" s="1" t="s">
        <v>211</v>
      </c>
      <c r="D84" s="1" t="s">
        <v>60</v>
      </c>
      <c r="E84">
        <v>2</v>
      </c>
      <c r="F84">
        <v>107.88</v>
      </c>
      <c r="G84">
        <v>215.76</v>
      </c>
      <c r="H84">
        <v>64.727999999999994</v>
      </c>
      <c r="I84" s="1" t="s">
        <v>19</v>
      </c>
      <c r="J84">
        <v>3</v>
      </c>
      <c r="K84" s="1" t="s">
        <v>1491</v>
      </c>
      <c r="L84">
        <v>2024</v>
      </c>
    </row>
    <row r="85" spans="1:12" x14ac:dyDescent="0.3">
      <c r="A85" s="1" t="s">
        <v>212</v>
      </c>
      <c r="B85" s="4">
        <v>45849</v>
      </c>
      <c r="C85" s="1" t="s">
        <v>213</v>
      </c>
      <c r="D85" s="1" t="s">
        <v>102</v>
      </c>
      <c r="E85">
        <v>7</v>
      </c>
      <c r="F85">
        <v>41.45</v>
      </c>
      <c r="G85">
        <v>290.14999999999998</v>
      </c>
      <c r="H85">
        <v>87.044999999999987</v>
      </c>
      <c r="I85" s="1" t="s">
        <v>36</v>
      </c>
      <c r="J85">
        <v>11</v>
      </c>
      <c r="K85" s="1" t="s">
        <v>1498</v>
      </c>
      <c r="L85">
        <v>2025</v>
      </c>
    </row>
    <row r="86" spans="1:12" x14ac:dyDescent="0.3">
      <c r="A86" s="1" t="s">
        <v>214</v>
      </c>
      <c r="B86" s="4">
        <v>46018</v>
      </c>
      <c r="C86" s="1" t="s">
        <v>205</v>
      </c>
      <c r="D86" s="1" t="s">
        <v>54</v>
      </c>
      <c r="E86">
        <v>5</v>
      </c>
      <c r="F86">
        <v>28.55</v>
      </c>
      <c r="G86">
        <v>142.75</v>
      </c>
      <c r="H86">
        <v>42.824999999999996</v>
      </c>
      <c r="I86" s="1" t="s">
        <v>15</v>
      </c>
      <c r="J86">
        <v>27</v>
      </c>
      <c r="K86" s="1" t="s">
        <v>1495</v>
      </c>
      <c r="L86">
        <v>2025</v>
      </c>
    </row>
    <row r="87" spans="1:12" x14ac:dyDescent="0.3">
      <c r="A87" s="1" t="s">
        <v>215</v>
      </c>
      <c r="B87" s="4">
        <v>45839</v>
      </c>
      <c r="C87" s="1" t="s">
        <v>216</v>
      </c>
      <c r="D87" s="1" t="s">
        <v>48</v>
      </c>
      <c r="E87">
        <v>1</v>
      </c>
      <c r="F87">
        <v>17.64</v>
      </c>
      <c r="G87">
        <v>17.64</v>
      </c>
      <c r="H87">
        <v>5.2919999999999998</v>
      </c>
      <c r="I87" s="1" t="s">
        <v>19</v>
      </c>
      <c r="J87">
        <v>1</v>
      </c>
      <c r="K87" s="1" t="s">
        <v>1498</v>
      </c>
      <c r="L87">
        <v>2025</v>
      </c>
    </row>
    <row r="88" spans="1:12" x14ac:dyDescent="0.3">
      <c r="A88" s="1" t="s">
        <v>217</v>
      </c>
      <c r="B88" s="4">
        <v>45670</v>
      </c>
      <c r="C88" s="1" t="s">
        <v>218</v>
      </c>
      <c r="D88" s="1" t="s">
        <v>42</v>
      </c>
      <c r="E88">
        <v>2</v>
      </c>
      <c r="F88">
        <v>165.9</v>
      </c>
      <c r="G88">
        <v>331.8</v>
      </c>
      <c r="H88">
        <v>99.54</v>
      </c>
      <c r="I88" s="1" t="s">
        <v>36</v>
      </c>
      <c r="J88">
        <v>13</v>
      </c>
      <c r="K88" s="1" t="s">
        <v>1493</v>
      </c>
      <c r="L88">
        <v>2025</v>
      </c>
    </row>
    <row r="89" spans="1:12" x14ac:dyDescent="0.3">
      <c r="A89" s="1" t="s">
        <v>219</v>
      </c>
      <c r="B89" s="4">
        <v>45979</v>
      </c>
      <c r="C89" s="1" t="s">
        <v>220</v>
      </c>
      <c r="D89" s="1" t="s">
        <v>221</v>
      </c>
      <c r="E89">
        <v>6</v>
      </c>
      <c r="F89">
        <v>108.19</v>
      </c>
      <c r="G89">
        <v>649.14</v>
      </c>
      <c r="H89">
        <v>194.74199999999999</v>
      </c>
      <c r="I89" s="1" t="s">
        <v>15</v>
      </c>
      <c r="J89">
        <v>18</v>
      </c>
      <c r="K89" s="1" t="s">
        <v>1500</v>
      </c>
      <c r="L89">
        <v>2025</v>
      </c>
    </row>
    <row r="90" spans="1:12" x14ac:dyDescent="0.3">
      <c r="A90" s="1" t="s">
        <v>222</v>
      </c>
      <c r="B90" s="4">
        <v>45737</v>
      </c>
      <c r="C90" s="1" t="s">
        <v>223</v>
      </c>
      <c r="D90" s="1" t="s">
        <v>48</v>
      </c>
      <c r="E90">
        <v>7</v>
      </c>
      <c r="F90">
        <v>17.64</v>
      </c>
      <c r="G90">
        <v>123.48</v>
      </c>
      <c r="H90">
        <v>37.043999999999997</v>
      </c>
      <c r="I90" s="1" t="s">
        <v>36</v>
      </c>
      <c r="J90">
        <v>21</v>
      </c>
      <c r="K90" s="1" t="s">
        <v>1491</v>
      </c>
      <c r="L90">
        <v>2025</v>
      </c>
    </row>
    <row r="91" spans="1:12" x14ac:dyDescent="0.3">
      <c r="A91" s="1" t="s">
        <v>224</v>
      </c>
      <c r="B91" s="4">
        <v>45739</v>
      </c>
      <c r="C91" s="1" t="s">
        <v>225</v>
      </c>
      <c r="D91" s="1" t="s">
        <v>153</v>
      </c>
      <c r="E91">
        <v>5</v>
      </c>
      <c r="F91">
        <v>60.32</v>
      </c>
      <c r="G91">
        <v>301.60000000000002</v>
      </c>
      <c r="H91">
        <v>90.48</v>
      </c>
      <c r="I91" s="1" t="s">
        <v>36</v>
      </c>
      <c r="J91">
        <v>23</v>
      </c>
      <c r="K91" s="1" t="s">
        <v>1491</v>
      </c>
      <c r="L91">
        <v>2025</v>
      </c>
    </row>
    <row r="92" spans="1:12" x14ac:dyDescent="0.3">
      <c r="A92" s="1" t="s">
        <v>226</v>
      </c>
      <c r="B92" s="4">
        <v>45709</v>
      </c>
      <c r="C92" s="1" t="s">
        <v>227</v>
      </c>
      <c r="D92" s="1" t="s">
        <v>228</v>
      </c>
      <c r="E92">
        <v>10</v>
      </c>
      <c r="F92">
        <v>104.84</v>
      </c>
      <c r="G92">
        <v>1048.4000000000001</v>
      </c>
      <c r="H92">
        <v>314.52000000000004</v>
      </c>
      <c r="I92" s="1" t="s">
        <v>19</v>
      </c>
      <c r="J92">
        <v>21</v>
      </c>
      <c r="K92" s="1" t="s">
        <v>1494</v>
      </c>
      <c r="L92">
        <v>2025</v>
      </c>
    </row>
    <row r="93" spans="1:12" x14ac:dyDescent="0.3">
      <c r="A93" s="1" t="s">
        <v>229</v>
      </c>
      <c r="B93" s="4">
        <v>45901</v>
      </c>
      <c r="C93" s="1" t="s">
        <v>230</v>
      </c>
      <c r="D93" s="1" t="s">
        <v>132</v>
      </c>
      <c r="E93">
        <v>5</v>
      </c>
      <c r="F93">
        <v>52.45</v>
      </c>
      <c r="G93">
        <v>262.25</v>
      </c>
      <c r="H93">
        <v>78.674999999999997</v>
      </c>
      <c r="I93" s="1" t="s">
        <v>15</v>
      </c>
      <c r="J93">
        <v>1</v>
      </c>
      <c r="K93" s="1" t="s">
        <v>1501</v>
      </c>
      <c r="L93">
        <v>2025</v>
      </c>
    </row>
    <row r="94" spans="1:12" x14ac:dyDescent="0.3">
      <c r="A94" s="1" t="s">
        <v>231</v>
      </c>
      <c r="B94" s="4">
        <v>45687</v>
      </c>
      <c r="C94" s="1" t="s">
        <v>232</v>
      </c>
      <c r="D94" s="1" t="s">
        <v>18</v>
      </c>
      <c r="E94">
        <v>7</v>
      </c>
      <c r="F94">
        <v>185.22</v>
      </c>
      <c r="G94">
        <v>1296.54</v>
      </c>
      <c r="H94">
        <v>388.96199999999999</v>
      </c>
      <c r="I94" s="1" t="s">
        <v>15</v>
      </c>
      <c r="J94">
        <v>30</v>
      </c>
      <c r="K94" s="1" t="s">
        <v>1493</v>
      </c>
      <c r="L94">
        <v>2025</v>
      </c>
    </row>
    <row r="95" spans="1:12" x14ac:dyDescent="0.3">
      <c r="A95" s="1" t="s">
        <v>233</v>
      </c>
      <c r="B95" s="4">
        <v>45765</v>
      </c>
      <c r="C95" s="1" t="s">
        <v>234</v>
      </c>
      <c r="D95" s="1" t="s">
        <v>42</v>
      </c>
      <c r="E95">
        <v>1</v>
      </c>
      <c r="F95">
        <v>165.9</v>
      </c>
      <c r="G95">
        <v>165.9</v>
      </c>
      <c r="H95">
        <v>49.77</v>
      </c>
      <c r="I95" s="1" t="s">
        <v>19</v>
      </c>
      <c r="J95">
        <v>18</v>
      </c>
      <c r="K95" s="1" t="s">
        <v>1496</v>
      </c>
      <c r="L95">
        <v>2025</v>
      </c>
    </row>
    <row r="96" spans="1:12" x14ac:dyDescent="0.3">
      <c r="A96" s="1" t="s">
        <v>235</v>
      </c>
      <c r="B96" s="4">
        <v>45671</v>
      </c>
      <c r="C96" s="1" t="s">
        <v>236</v>
      </c>
      <c r="D96" s="1" t="s">
        <v>228</v>
      </c>
      <c r="E96">
        <v>2</v>
      </c>
      <c r="F96">
        <v>104.84</v>
      </c>
      <c r="G96">
        <v>209.68</v>
      </c>
      <c r="H96">
        <v>62.903999999999996</v>
      </c>
      <c r="I96" s="1" t="s">
        <v>11</v>
      </c>
      <c r="J96">
        <v>14</v>
      </c>
      <c r="K96" s="1" t="s">
        <v>1493</v>
      </c>
      <c r="L96">
        <v>2025</v>
      </c>
    </row>
    <row r="97" spans="1:12" x14ac:dyDescent="0.3">
      <c r="A97" s="1" t="s">
        <v>237</v>
      </c>
      <c r="B97" s="4">
        <v>45842</v>
      </c>
      <c r="C97" s="1" t="s">
        <v>238</v>
      </c>
      <c r="D97" s="1" t="s">
        <v>239</v>
      </c>
      <c r="E97">
        <v>9</v>
      </c>
      <c r="F97">
        <v>103.45</v>
      </c>
      <c r="G97">
        <v>931.05</v>
      </c>
      <c r="H97">
        <v>279.315</v>
      </c>
      <c r="I97" s="1" t="s">
        <v>19</v>
      </c>
      <c r="J97">
        <v>4</v>
      </c>
      <c r="K97" s="1" t="s">
        <v>1498</v>
      </c>
      <c r="L97">
        <v>2025</v>
      </c>
    </row>
    <row r="98" spans="1:12" x14ac:dyDescent="0.3">
      <c r="A98" s="1" t="s">
        <v>240</v>
      </c>
      <c r="B98" s="4">
        <v>45457</v>
      </c>
      <c r="C98" s="1" t="s">
        <v>241</v>
      </c>
      <c r="D98" s="1" t="s">
        <v>111</v>
      </c>
      <c r="E98">
        <v>8</v>
      </c>
      <c r="F98">
        <v>91.3</v>
      </c>
      <c r="G98">
        <v>730.4</v>
      </c>
      <c r="H98">
        <v>219.11999999999998</v>
      </c>
      <c r="I98" s="1" t="s">
        <v>36</v>
      </c>
      <c r="J98">
        <v>14</v>
      </c>
      <c r="K98" s="1" t="s">
        <v>1497</v>
      </c>
      <c r="L98">
        <v>2024</v>
      </c>
    </row>
    <row r="99" spans="1:12" x14ac:dyDescent="0.3">
      <c r="A99" s="1" t="s">
        <v>242</v>
      </c>
      <c r="B99" s="4">
        <v>45590</v>
      </c>
      <c r="C99" s="1" t="s">
        <v>243</v>
      </c>
      <c r="D99" s="1" t="s">
        <v>244</v>
      </c>
      <c r="E99">
        <v>1</v>
      </c>
      <c r="F99">
        <v>193.35</v>
      </c>
      <c r="G99">
        <v>193.35</v>
      </c>
      <c r="H99">
        <v>58.004999999999995</v>
      </c>
      <c r="I99" s="1" t="s">
        <v>36</v>
      </c>
      <c r="J99">
        <v>25</v>
      </c>
      <c r="K99" s="1" t="s">
        <v>1490</v>
      </c>
      <c r="L99">
        <v>2024</v>
      </c>
    </row>
    <row r="100" spans="1:12" x14ac:dyDescent="0.3">
      <c r="A100" s="1" t="s">
        <v>245</v>
      </c>
      <c r="B100" s="4">
        <v>45988</v>
      </c>
      <c r="C100" s="1" t="s">
        <v>53</v>
      </c>
      <c r="D100" s="1" t="s">
        <v>246</v>
      </c>
      <c r="E100">
        <v>3</v>
      </c>
      <c r="F100">
        <v>17.22</v>
      </c>
      <c r="G100">
        <v>51.66</v>
      </c>
      <c r="H100">
        <v>15.497999999999998</v>
      </c>
      <c r="I100" s="1" t="s">
        <v>15</v>
      </c>
      <c r="J100">
        <v>27</v>
      </c>
      <c r="K100" s="1" t="s">
        <v>1500</v>
      </c>
      <c r="L100">
        <v>2025</v>
      </c>
    </row>
    <row r="101" spans="1:12" x14ac:dyDescent="0.3">
      <c r="A101" s="1" t="s">
        <v>247</v>
      </c>
      <c r="B101" s="4">
        <v>45550</v>
      </c>
      <c r="C101" s="1" t="s">
        <v>248</v>
      </c>
      <c r="D101" s="1" t="s">
        <v>145</v>
      </c>
      <c r="E101">
        <v>1</v>
      </c>
      <c r="F101">
        <v>180.47</v>
      </c>
      <c r="G101">
        <v>180.47</v>
      </c>
      <c r="H101">
        <v>54.140999999999998</v>
      </c>
      <c r="I101" s="1" t="s">
        <v>36</v>
      </c>
      <c r="J101">
        <v>15</v>
      </c>
      <c r="K101" s="1" t="s">
        <v>1501</v>
      </c>
      <c r="L101">
        <v>2024</v>
      </c>
    </row>
    <row r="102" spans="1:12" x14ac:dyDescent="0.3">
      <c r="A102" s="1" t="s">
        <v>249</v>
      </c>
      <c r="B102" s="4">
        <v>45965</v>
      </c>
      <c r="C102" s="1" t="s">
        <v>250</v>
      </c>
      <c r="D102" s="1" t="s">
        <v>183</v>
      </c>
      <c r="E102">
        <v>2</v>
      </c>
      <c r="F102">
        <v>12.47</v>
      </c>
      <c r="G102">
        <v>24.94</v>
      </c>
      <c r="H102">
        <v>7.4820000000000002</v>
      </c>
      <c r="I102" s="1" t="s">
        <v>11</v>
      </c>
      <c r="J102">
        <v>4</v>
      </c>
      <c r="K102" s="1" t="s">
        <v>1500</v>
      </c>
      <c r="L102">
        <v>2025</v>
      </c>
    </row>
    <row r="103" spans="1:12" x14ac:dyDescent="0.3">
      <c r="A103" s="1" t="s">
        <v>251</v>
      </c>
      <c r="B103" s="4">
        <v>45296</v>
      </c>
      <c r="C103" s="1" t="s">
        <v>252</v>
      </c>
      <c r="D103" s="1" t="s">
        <v>228</v>
      </c>
      <c r="E103">
        <v>7</v>
      </c>
      <c r="F103">
        <v>104.84</v>
      </c>
      <c r="G103">
        <v>733.88</v>
      </c>
      <c r="H103">
        <v>220.16399999999999</v>
      </c>
      <c r="I103" s="1" t="s">
        <v>19</v>
      </c>
      <c r="J103">
        <v>5</v>
      </c>
      <c r="K103" s="1" t="s">
        <v>1493</v>
      </c>
      <c r="L103">
        <v>2024</v>
      </c>
    </row>
    <row r="104" spans="1:12" x14ac:dyDescent="0.3">
      <c r="A104" s="1" t="s">
        <v>253</v>
      </c>
      <c r="B104" s="4">
        <v>45944</v>
      </c>
      <c r="C104" s="1" t="s">
        <v>254</v>
      </c>
      <c r="D104" s="1" t="s">
        <v>83</v>
      </c>
      <c r="E104">
        <v>2</v>
      </c>
      <c r="F104">
        <v>28.49</v>
      </c>
      <c r="G104">
        <v>56.98</v>
      </c>
      <c r="H104">
        <v>17.093999999999998</v>
      </c>
      <c r="I104" s="1" t="s">
        <v>15</v>
      </c>
      <c r="J104">
        <v>14</v>
      </c>
      <c r="K104" s="1" t="s">
        <v>1490</v>
      </c>
      <c r="L104">
        <v>2025</v>
      </c>
    </row>
    <row r="105" spans="1:12" x14ac:dyDescent="0.3">
      <c r="A105" s="1" t="s">
        <v>255</v>
      </c>
      <c r="B105" s="4">
        <v>45636</v>
      </c>
      <c r="C105" s="1" t="s">
        <v>232</v>
      </c>
      <c r="D105" s="1" t="s">
        <v>256</v>
      </c>
      <c r="E105">
        <v>4</v>
      </c>
      <c r="F105">
        <v>58.12</v>
      </c>
      <c r="G105">
        <v>232.48</v>
      </c>
      <c r="H105">
        <v>69.744</v>
      </c>
      <c r="I105" s="1" t="s">
        <v>15</v>
      </c>
      <c r="J105">
        <v>10</v>
      </c>
      <c r="K105" s="1" t="s">
        <v>1495</v>
      </c>
      <c r="L105">
        <v>2024</v>
      </c>
    </row>
    <row r="106" spans="1:12" x14ac:dyDescent="0.3">
      <c r="A106" s="1" t="s">
        <v>257</v>
      </c>
      <c r="B106" s="4">
        <v>45968</v>
      </c>
      <c r="C106" s="1" t="s">
        <v>258</v>
      </c>
      <c r="D106" s="1" t="s">
        <v>123</v>
      </c>
      <c r="E106">
        <v>3</v>
      </c>
      <c r="F106">
        <v>20.28</v>
      </c>
      <c r="G106">
        <v>60.84</v>
      </c>
      <c r="H106">
        <v>18.251999999999999</v>
      </c>
      <c r="I106" s="1" t="s">
        <v>15</v>
      </c>
      <c r="J106">
        <v>7</v>
      </c>
      <c r="K106" s="1" t="s">
        <v>1500</v>
      </c>
      <c r="L106">
        <v>2025</v>
      </c>
    </row>
    <row r="107" spans="1:12" x14ac:dyDescent="0.3">
      <c r="A107" s="1" t="s">
        <v>259</v>
      </c>
      <c r="B107" s="4">
        <v>45685</v>
      </c>
      <c r="C107" s="1" t="s">
        <v>260</v>
      </c>
      <c r="D107" s="1" t="s">
        <v>261</v>
      </c>
      <c r="E107">
        <v>1</v>
      </c>
      <c r="F107">
        <v>176.31</v>
      </c>
      <c r="G107">
        <v>176.31</v>
      </c>
      <c r="H107">
        <v>52.893000000000001</v>
      </c>
      <c r="I107" s="1" t="s">
        <v>19</v>
      </c>
      <c r="J107">
        <v>28</v>
      </c>
      <c r="K107" s="1" t="s">
        <v>1493</v>
      </c>
      <c r="L107">
        <v>2025</v>
      </c>
    </row>
    <row r="108" spans="1:12" x14ac:dyDescent="0.3">
      <c r="A108" s="1" t="s">
        <v>262</v>
      </c>
      <c r="B108" s="4">
        <v>45777</v>
      </c>
      <c r="C108" s="1" t="s">
        <v>263</v>
      </c>
      <c r="D108" s="1" t="s">
        <v>114</v>
      </c>
      <c r="E108">
        <v>1</v>
      </c>
      <c r="F108">
        <v>195.89</v>
      </c>
      <c r="G108">
        <v>195.89</v>
      </c>
      <c r="H108">
        <v>58.766999999999996</v>
      </c>
      <c r="I108" s="1" t="s">
        <v>19</v>
      </c>
      <c r="J108">
        <v>30</v>
      </c>
      <c r="K108" s="1" t="s">
        <v>1496</v>
      </c>
      <c r="L108">
        <v>2025</v>
      </c>
    </row>
    <row r="109" spans="1:12" x14ac:dyDescent="0.3">
      <c r="A109" s="1" t="s">
        <v>264</v>
      </c>
      <c r="B109" s="4">
        <v>45501</v>
      </c>
      <c r="C109" s="1" t="s">
        <v>265</v>
      </c>
      <c r="D109" s="1" t="s">
        <v>111</v>
      </c>
      <c r="E109">
        <v>8</v>
      </c>
      <c r="F109">
        <v>91.3</v>
      </c>
      <c r="G109">
        <v>730.4</v>
      </c>
      <c r="H109">
        <v>219.11999999999998</v>
      </c>
      <c r="I109" s="1" t="s">
        <v>11</v>
      </c>
      <c r="J109">
        <v>28</v>
      </c>
      <c r="K109" s="1" t="s">
        <v>1498</v>
      </c>
      <c r="L109">
        <v>2024</v>
      </c>
    </row>
    <row r="110" spans="1:12" x14ac:dyDescent="0.3">
      <c r="A110" s="1" t="s">
        <v>266</v>
      </c>
      <c r="B110" s="4">
        <v>45509</v>
      </c>
      <c r="C110" s="1" t="s">
        <v>267</v>
      </c>
      <c r="D110" s="1" t="s">
        <v>24</v>
      </c>
      <c r="E110">
        <v>8</v>
      </c>
      <c r="F110">
        <v>134.32</v>
      </c>
      <c r="G110">
        <v>1074.56</v>
      </c>
      <c r="H110">
        <v>322.36799999999999</v>
      </c>
      <c r="I110" s="1" t="s">
        <v>11</v>
      </c>
      <c r="J110">
        <v>5</v>
      </c>
      <c r="K110" s="1" t="s">
        <v>1499</v>
      </c>
      <c r="L110">
        <v>2024</v>
      </c>
    </row>
    <row r="111" spans="1:12" x14ac:dyDescent="0.3">
      <c r="A111" s="1" t="s">
        <v>268</v>
      </c>
      <c r="B111" s="4">
        <v>45656</v>
      </c>
      <c r="C111" s="1" t="s">
        <v>169</v>
      </c>
      <c r="D111" s="1" t="s">
        <v>60</v>
      </c>
      <c r="E111">
        <v>8</v>
      </c>
      <c r="F111">
        <v>107.88</v>
      </c>
      <c r="G111">
        <v>863.04</v>
      </c>
      <c r="H111">
        <v>258.91199999999998</v>
      </c>
      <c r="I111" s="1" t="s">
        <v>36</v>
      </c>
      <c r="J111">
        <v>30</v>
      </c>
      <c r="K111" s="1" t="s">
        <v>1495</v>
      </c>
      <c r="L111">
        <v>2024</v>
      </c>
    </row>
    <row r="112" spans="1:12" x14ac:dyDescent="0.3">
      <c r="A112" s="1" t="s">
        <v>269</v>
      </c>
      <c r="B112" s="4">
        <v>45381</v>
      </c>
      <c r="C112" s="1" t="s">
        <v>270</v>
      </c>
      <c r="D112" s="1" t="s">
        <v>27</v>
      </c>
      <c r="E112">
        <v>10</v>
      </c>
      <c r="F112">
        <v>35.03</v>
      </c>
      <c r="G112">
        <v>350.3</v>
      </c>
      <c r="H112">
        <v>105.09</v>
      </c>
      <c r="I112" s="1" t="s">
        <v>19</v>
      </c>
      <c r="J112">
        <v>30</v>
      </c>
      <c r="K112" s="1" t="s">
        <v>1491</v>
      </c>
      <c r="L112">
        <v>2024</v>
      </c>
    </row>
    <row r="113" spans="1:12" x14ac:dyDescent="0.3">
      <c r="A113" s="1" t="s">
        <v>271</v>
      </c>
      <c r="B113" s="4">
        <v>45912</v>
      </c>
      <c r="C113" s="1" t="s">
        <v>272</v>
      </c>
      <c r="D113" s="1" t="s">
        <v>33</v>
      </c>
      <c r="E113">
        <v>6</v>
      </c>
      <c r="F113">
        <v>78.92</v>
      </c>
      <c r="G113">
        <v>473.52</v>
      </c>
      <c r="H113">
        <v>142.05599999999998</v>
      </c>
      <c r="I113" s="1" t="s">
        <v>19</v>
      </c>
      <c r="J113">
        <v>12</v>
      </c>
      <c r="K113" s="1" t="s">
        <v>1501</v>
      </c>
      <c r="L113">
        <v>2025</v>
      </c>
    </row>
    <row r="114" spans="1:12" x14ac:dyDescent="0.3">
      <c r="A114" s="1" t="s">
        <v>273</v>
      </c>
      <c r="B114" s="4">
        <v>45924</v>
      </c>
      <c r="C114" s="1" t="s">
        <v>274</v>
      </c>
      <c r="D114" s="1" t="s">
        <v>60</v>
      </c>
      <c r="E114">
        <v>4</v>
      </c>
      <c r="F114">
        <v>107.88</v>
      </c>
      <c r="G114">
        <v>431.52</v>
      </c>
      <c r="H114">
        <v>129.45599999999999</v>
      </c>
      <c r="I114" s="1" t="s">
        <v>36</v>
      </c>
      <c r="J114">
        <v>24</v>
      </c>
      <c r="K114" s="1" t="s">
        <v>1501</v>
      </c>
      <c r="L114">
        <v>2025</v>
      </c>
    </row>
    <row r="115" spans="1:12" x14ac:dyDescent="0.3">
      <c r="A115" s="1" t="s">
        <v>275</v>
      </c>
      <c r="B115" s="4">
        <v>45483</v>
      </c>
      <c r="C115" s="1" t="s">
        <v>276</v>
      </c>
      <c r="D115" s="1" t="s">
        <v>277</v>
      </c>
      <c r="E115">
        <v>1</v>
      </c>
      <c r="F115">
        <v>56.18</v>
      </c>
      <c r="G115">
        <v>56.18</v>
      </c>
      <c r="H115">
        <v>16.853999999999999</v>
      </c>
      <c r="I115" s="1" t="s">
        <v>36</v>
      </c>
      <c r="J115">
        <v>10</v>
      </c>
      <c r="K115" s="1" t="s">
        <v>1498</v>
      </c>
      <c r="L115">
        <v>2024</v>
      </c>
    </row>
    <row r="116" spans="1:12" x14ac:dyDescent="0.3">
      <c r="A116" s="1" t="s">
        <v>278</v>
      </c>
      <c r="B116" s="4">
        <v>45306</v>
      </c>
      <c r="C116" s="1" t="s">
        <v>279</v>
      </c>
      <c r="D116" s="1" t="s">
        <v>145</v>
      </c>
      <c r="E116">
        <v>3</v>
      </c>
      <c r="F116">
        <v>180.47</v>
      </c>
      <c r="G116">
        <v>541.41</v>
      </c>
      <c r="H116">
        <v>162.42299999999997</v>
      </c>
      <c r="I116" s="1" t="s">
        <v>36</v>
      </c>
      <c r="J116">
        <v>15</v>
      </c>
      <c r="K116" s="1" t="s">
        <v>1493</v>
      </c>
      <c r="L116">
        <v>2024</v>
      </c>
    </row>
    <row r="117" spans="1:12" x14ac:dyDescent="0.3">
      <c r="A117" s="1" t="s">
        <v>280</v>
      </c>
      <c r="B117" s="4">
        <v>45480</v>
      </c>
      <c r="C117" s="1" t="s">
        <v>281</v>
      </c>
      <c r="D117" s="1" t="s">
        <v>10</v>
      </c>
      <c r="E117">
        <v>2</v>
      </c>
      <c r="F117">
        <v>112.61</v>
      </c>
      <c r="G117">
        <v>225.22</v>
      </c>
      <c r="H117">
        <v>67.566000000000003</v>
      </c>
      <c r="I117" s="1" t="s">
        <v>15</v>
      </c>
      <c r="J117">
        <v>7</v>
      </c>
      <c r="K117" s="1" t="s">
        <v>1498</v>
      </c>
      <c r="L117">
        <v>2024</v>
      </c>
    </row>
    <row r="118" spans="1:12" x14ac:dyDescent="0.3">
      <c r="A118" s="1" t="s">
        <v>282</v>
      </c>
      <c r="B118" s="4">
        <v>45331</v>
      </c>
      <c r="C118" s="1" t="s">
        <v>283</v>
      </c>
      <c r="D118" s="1" t="s">
        <v>156</v>
      </c>
      <c r="E118">
        <v>10</v>
      </c>
      <c r="F118">
        <v>182.55</v>
      </c>
      <c r="G118">
        <v>1825.5</v>
      </c>
      <c r="H118">
        <v>547.65</v>
      </c>
      <c r="I118" s="1" t="s">
        <v>11</v>
      </c>
      <c r="J118">
        <v>9</v>
      </c>
      <c r="K118" s="1" t="s">
        <v>1494</v>
      </c>
      <c r="L118">
        <v>2024</v>
      </c>
    </row>
    <row r="119" spans="1:12" x14ac:dyDescent="0.3">
      <c r="A119" s="1" t="s">
        <v>284</v>
      </c>
      <c r="B119" s="4">
        <v>45416</v>
      </c>
      <c r="C119" s="1" t="s">
        <v>285</v>
      </c>
      <c r="D119" s="1" t="s">
        <v>83</v>
      </c>
      <c r="E119">
        <v>1</v>
      </c>
      <c r="F119">
        <v>28.49</v>
      </c>
      <c r="G119">
        <v>28.49</v>
      </c>
      <c r="H119">
        <v>8.5469999999999988</v>
      </c>
      <c r="I119" s="1" t="s">
        <v>36</v>
      </c>
      <c r="J119">
        <v>4</v>
      </c>
      <c r="K119" s="1" t="s">
        <v>1492</v>
      </c>
      <c r="L119">
        <v>2024</v>
      </c>
    </row>
    <row r="120" spans="1:12" x14ac:dyDescent="0.3">
      <c r="A120" s="1" t="s">
        <v>286</v>
      </c>
      <c r="B120" s="4">
        <v>45764</v>
      </c>
      <c r="C120" s="1" t="s">
        <v>110</v>
      </c>
      <c r="D120" s="1" t="s">
        <v>24</v>
      </c>
      <c r="E120">
        <v>9</v>
      </c>
      <c r="F120">
        <v>134.32</v>
      </c>
      <c r="G120">
        <v>1208.8800000000001</v>
      </c>
      <c r="H120">
        <v>362.66400000000004</v>
      </c>
      <c r="I120" s="1" t="s">
        <v>15</v>
      </c>
      <c r="J120">
        <v>17</v>
      </c>
      <c r="K120" s="1" t="s">
        <v>1496</v>
      </c>
      <c r="L120">
        <v>2025</v>
      </c>
    </row>
    <row r="121" spans="1:12" x14ac:dyDescent="0.3">
      <c r="A121" s="1" t="s">
        <v>287</v>
      </c>
      <c r="B121" s="4">
        <v>45361</v>
      </c>
      <c r="C121" s="1" t="s">
        <v>288</v>
      </c>
      <c r="D121" s="1" t="s">
        <v>221</v>
      </c>
      <c r="E121">
        <v>9</v>
      </c>
      <c r="F121">
        <v>108.19</v>
      </c>
      <c r="G121">
        <v>973.71</v>
      </c>
      <c r="H121">
        <v>292.113</v>
      </c>
      <c r="I121" s="1" t="s">
        <v>19</v>
      </c>
      <c r="J121">
        <v>10</v>
      </c>
      <c r="K121" s="1" t="s">
        <v>1491</v>
      </c>
      <c r="L121">
        <v>2024</v>
      </c>
    </row>
    <row r="122" spans="1:12" x14ac:dyDescent="0.3">
      <c r="A122" s="1" t="s">
        <v>289</v>
      </c>
      <c r="B122" s="4">
        <v>45580</v>
      </c>
      <c r="C122" s="1" t="s">
        <v>290</v>
      </c>
      <c r="D122" s="1" t="s">
        <v>30</v>
      </c>
      <c r="E122">
        <v>5</v>
      </c>
      <c r="F122">
        <v>74.61</v>
      </c>
      <c r="G122">
        <v>373.05</v>
      </c>
      <c r="H122">
        <v>111.91500000000001</v>
      </c>
      <c r="I122" s="1" t="s">
        <v>19</v>
      </c>
      <c r="J122">
        <v>15</v>
      </c>
      <c r="K122" s="1" t="s">
        <v>1490</v>
      </c>
      <c r="L122">
        <v>2024</v>
      </c>
    </row>
    <row r="123" spans="1:12" x14ac:dyDescent="0.3">
      <c r="A123" s="1" t="s">
        <v>291</v>
      </c>
      <c r="B123" s="4">
        <v>45735</v>
      </c>
      <c r="C123" s="1" t="s">
        <v>292</v>
      </c>
      <c r="D123" s="1" t="s">
        <v>111</v>
      </c>
      <c r="E123">
        <v>6</v>
      </c>
      <c r="F123">
        <v>91.3</v>
      </c>
      <c r="G123">
        <v>547.79999999999995</v>
      </c>
      <c r="H123">
        <v>164.33999999999997</v>
      </c>
      <c r="I123" s="1" t="s">
        <v>19</v>
      </c>
      <c r="J123">
        <v>19</v>
      </c>
      <c r="K123" s="1" t="s">
        <v>1491</v>
      </c>
      <c r="L123">
        <v>2025</v>
      </c>
    </row>
    <row r="124" spans="1:12" x14ac:dyDescent="0.3">
      <c r="A124" s="1" t="s">
        <v>293</v>
      </c>
      <c r="B124" s="4">
        <v>45441</v>
      </c>
      <c r="C124" s="1" t="s">
        <v>92</v>
      </c>
      <c r="D124" s="1" t="s">
        <v>239</v>
      </c>
      <c r="E124">
        <v>7</v>
      </c>
      <c r="F124">
        <v>103.45</v>
      </c>
      <c r="G124">
        <v>724.15</v>
      </c>
      <c r="H124">
        <v>217.24499999999998</v>
      </c>
      <c r="I124" s="1" t="s">
        <v>19</v>
      </c>
      <c r="J124">
        <v>29</v>
      </c>
      <c r="K124" s="1" t="s">
        <v>1492</v>
      </c>
      <c r="L124">
        <v>2024</v>
      </c>
    </row>
    <row r="125" spans="1:12" x14ac:dyDescent="0.3">
      <c r="A125" s="1" t="s">
        <v>294</v>
      </c>
      <c r="B125" s="4">
        <v>45473</v>
      </c>
      <c r="C125" s="1" t="s">
        <v>90</v>
      </c>
      <c r="D125" s="1" t="s">
        <v>148</v>
      </c>
      <c r="E125">
        <v>10</v>
      </c>
      <c r="F125">
        <v>118.95</v>
      </c>
      <c r="G125">
        <v>1189.5</v>
      </c>
      <c r="H125">
        <v>356.84999999999997</v>
      </c>
      <c r="I125" s="1" t="s">
        <v>19</v>
      </c>
      <c r="J125">
        <v>30</v>
      </c>
      <c r="K125" s="1" t="s">
        <v>1497</v>
      </c>
      <c r="L125">
        <v>2024</v>
      </c>
    </row>
    <row r="126" spans="1:12" x14ac:dyDescent="0.3">
      <c r="A126" s="1" t="s">
        <v>295</v>
      </c>
      <c r="B126" s="4">
        <v>45569</v>
      </c>
      <c r="C126" s="1" t="s">
        <v>160</v>
      </c>
      <c r="D126" s="1" t="s">
        <v>67</v>
      </c>
      <c r="E126">
        <v>1</v>
      </c>
      <c r="F126">
        <v>29.94</v>
      </c>
      <c r="G126">
        <v>29.94</v>
      </c>
      <c r="H126">
        <v>8.9819999999999993</v>
      </c>
      <c r="I126" s="1" t="s">
        <v>36</v>
      </c>
      <c r="J126">
        <v>4</v>
      </c>
      <c r="K126" s="1" t="s">
        <v>1490</v>
      </c>
      <c r="L126">
        <v>2024</v>
      </c>
    </row>
    <row r="127" spans="1:12" x14ac:dyDescent="0.3">
      <c r="A127" s="1" t="s">
        <v>296</v>
      </c>
      <c r="B127" s="4">
        <v>45591</v>
      </c>
      <c r="C127" s="1" t="s">
        <v>297</v>
      </c>
      <c r="D127" s="1" t="s">
        <v>156</v>
      </c>
      <c r="E127">
        <v>2</v>
      </c>
      <c r="F127">
        <v>182.55</v>
      </c>
      <c r="G127">
        <v>365.1</v>
      </c>
      <c r="H127">
        <v>109.53</v>
      </c>
      <c r="I127" s="1" t="s">
        <v>19</v>
      </c>
      <c r="J127">
        <v>26</v>
      </c>
      <c r="K127" s="1" t="s">
        <v>1490</v>
      </c>
      <c r="L127">
        <v>2024</v>
      </c>
    </row>
    <row r="128" spans="1:12" x14ac:dyDescent="0.3">
      <c r="A128" s="1" t="s">
        <v>298</v>
      </c>
      <c r="B128" s="4">
        <v>45795</v>
      </c>
      <c r="C128" s="1" t="s">
        <v>299</v>
      </c>
      <c r="D128" s="1" t="s">
        <v>156</v>
      </c>
      <c r="E128">
        <v>1</v>
      </c>
      <c r="F128">
        <v>182.55</v>
      </c>
      <c r="G128">
        <v>182.55</v>
      </c>
      <c r="H128">
        <v>54.765000000000001</v>
      </c>
      <c r="I128" s="1" t="s">
        <v>15</v>
      </c>
      <c r="J128">
        <v>18</v>
      </c>
      <c r="K128" s="1" t="s">
        <v>1492</v>
      </c>
      <c r="L128">
        <v>2025</v>
      </c>
    </row>
    <row r="129" spans="1:12" x14ac:dyDescent="0.3">
      <c r="A129" s="1" t="s">
        <v>300</v>
      </c>
      <c r="B129" s="4">
        <v>45945</v>
      </c>
      <c r="C129" s="1" t="s">
        <v>301</v>
      </c>
      <c r="D129" s="1" t="s">
        <v>83</v>
      </c>
      <c r="E129">
        <v>7</v>
      </c>
      <c r="F129">
        <v>28.49</v>
      </c>
      <c r="G129">
        <v>199.43</v>
      </c>
      <c r="H129">
        <v>59.829000000000001</v>
      </c>
      <c r="I129" s="1" t="s">
        <v>36</v>
      </c>
      <c r="J129">
        <v>15</v>
      </c>
      <c r="K129" s="1" t="s">
        <v>1490</v>
      </c>
      <c r="L129">
        <v>2025</v>
      </c>
    </row>
    <row r="130" spans="1:12" x14ac:dyDescent="0.3">
      <c r="A130" s="1" t="s">
        <v>302</v>
      </c>
      <c r="B130" s="4">
        <v>45592</v>
      </c>
      <c r="C130" s="1" t="s">
        <v>303</v>
      </c>
      <c r="D130" s="1" t="s">
        <v>123</v>
      </c>
      <c r="E130">
        <v>9</v>
      </c>
      <c r="F130">
        <v>20.28</v>
      </c>
      <c r="G130">
        <v>182.52</v>
      </c>
      <c r="H130">
        <v>54.756</v>
      </c>
      <c r="I130" s="1" t="s">
        <v>19</v>
      </c>
      <c r="J130">
        <v>27</v>
      </c>
      <c r="K130" s="1" t="s">
        <v>1490</v>
      </c>
      <c r="L130">
        <v>2024</v>
      </c>
    </row>
    <row r="131" spans="1:12" x14ac:dyDescent="0.3">
      <c r="A131" s="1" t="s">
        <v>304</v>
      </c>
      <c r="B131" s="4">
        <v>45549</v>
      </c>
      <c r="C131" s="1" t="s">
        <v>305</v>
      </c>
      <c r="D131" s="1" t="s">
        <v>88</v>
      </c>
      <c r="E131">
        <v>6</v>
      </c>
      <c r="F131">
        <v>162.21</v>
      </c>
      <c r="G131">
        <v>973.26</v>
      </c>
      <c r="H131">
        <v>291.97800000000001</v>
      </c>
      <c r="I131" s="1" t="s">
        <v>15</v>
      </c>
      <c r="J131">
        <v>14</v>
      </c>
      <c r="K131" s="1" t="s">
        <v>1501</v>
      </c>
      <c r="L131">
        <v>2024</v>
      </c>
    </row>
    <row r="132" spans="1:12" x14ac:dyDescent="0.3">
      <c r="A132" s="1" t="s">
        <v>306</v>
      </c>
      <c r="B132" s="4">
        <v>45690</v>
      </c>
      <c r="C132" s="1" t="s">
        <v>307</v>
      </c>
      <c r="D132" s="1" t="s">
        <v>132</v>
      </c>
      <c r="E132">
        <v>6</v>
      </c>
      <c r="F132">
        <v>52.45</v>
      </c>
      <c r="G132">
        <v>314.7</v>
      </c>
      <c r="H132">
        <v>94.41</v>
      </c>
      <c r="I132" s="1" t="s">
        <v>36</v>
      </c>
      <c r="J132">
        <v>2</v>
      </c>
      <c r="K132" s="1" t="s">
        <v>1494</v>
      </c>
      <c r="L132">
        <v>2025</v>
      </c>
    </row>
    <row r="133" spans="1:12" x14ac:dyDescent="0.3">
      <c r="A133" s="1" t="s">
        <v>308</v>
      </c>
      <c r="B133" s="4">
        <v>45668</v>
      </c>
      <c r="C133" s="1" t="s">
        <v>309</v>
      </c>
      <c r="D133" s="1" t="s">
        <v>193</v>
      </c>
      <c r="E133">
        <v>5</v>
      </c>
      <c r="F133">
        <v>157.13</v>
      </c>
      <c r="G133">
        <v>785.65</v>
      </c>
      <c r="H133">
        <v>235.69499999999999</v>
      </c>
      <c r="I133" s="1" t="s">
        <v>36</v>
      </c>
      <c r="J133">
        <v>11</v>
      </c>
      <c r="K133" s="1" t="s">
        <v>1493</v>
      </c>
      <c r="L133">
        <v>2025</v>
      </c>
    </row>
    <row r="134" spans="1:12" x14ac:dyDescent="0.3">
      <c r="A134" s="1" t="s">
        <v>310</v>
      </c>
      <c r="B134" s="4">
        <v>45549</v>
      </c>
      <c r="C134" s="1" t="s">
        <v>267</v>
      </c>
      <c r="D134" s="1" t="s">
        <v>201</v>
      </c>
      <c r="E134">
        <v>4</v>
      </c>
      <c r="F134">
        <v>53.74</v>
      </c>
      <c r="G134">
        <v>214.96</v>
      </c>
      <c r="H134">
        <v>64.488</v>
      </c>
      <c r="I134" s="1" t="s">
        <v>11</v>
      </c>
      <c r="J134">
        <v>14</v>
      </c>
      <c r="K134" s="1" t="s">
        <v>1501</v>
      </c>
      <c r="L134">
        <v>2024</v>
      </c>
    </row>
    <row r="135" spans="1:12" x14ac:dyDescent="0.3">
      <c r="A135" s="1" t="s">
        <v>311</v>
      </c>
      <c r="B135" s="4">
        <v>45480</v>
      </c>
      <c r="C135" s="1" t="s">
        <v>312</v>
      </c>
      <c r="D135" s="1" t="s">
        <v>57</v>
      </c>
      <c r="E135">
        <v>4</v>
      </c>
      <c r="F135">
        <v>38.93</v>
      </c>
      <c r="G135">
        <v>155.72</v>
      </c>
      <c r="H135">
        <v>46.716000000000001</v>
      </c>
      <c r="I135" s="1" t="s">
        <v>15</v>
      </c>
      <c r="J135">
        <v>7</v>
      </c>
      <c r="K135" s="1" t="s">
        <v>1498</v>
      </c>
      <c r="L135">
        <v>2024</v>
      </c>
    </row>
    <row r="136" spans="1:12" x14ac:dyDescent="0.3">
      <c r="A136" s="1" t="s">
        <v>313</v>
      </c>
      <c r="B136" s="4">
        <v>45567</v>
      </c>
      <c r="C136" s="1" t="s">
        <v>314</v>
      </c>
      <c r="D136" s="1" t="s">
        <v>148</v>
      </c>
      <c r="E136">
        <v>3</v>
      </c>
      <c r="F136">
        <v>118.95</v>
      </c>
      <c r="G136">
        <v>356.85</v>
      </c>
      <c r="H136">
        <v>107.05500000000001</v>
      </c>
      <c r="I136" s="1" t="s">
        <v>19</v>
      </c>
      <c r="J136">
        <v>2</v>
      </c>
      <c r="K136" s="1" t="s">
        <v>1490</v>
      </c>
      <c r="L136">
        <v>2024</v>
      </c>
    </row>
    <row r="137" spans="1:12" x14ac:dyDescent="0.3">
      <c r="A137" s="1" t="s">
        <v>315</v>
      </c>
      <c r="B137" s="4">
        <v>45630</v>
      </c>
      <c r="C137" s="1" t="s">
        <v>316</v>
      </c>
      <c r="D137" s="1" t="s">
        <v>132</v>
      </c>
      <c r="E137">
        <v>9</v>
      </c>
      <c r="F137">
        <v>52.45</v>
      </c>
      <c r="G137">
        <v>472.05</v>
      </c>
      <c r="H137">
        <v>141.61500000000001</v>
      </c>
      <c r="I137" s="1" t="s">
        <v>36</v>
      </c>
      <c r="J137">
        <v>4</v>
      </c>
      <c r="K137" s="1" t="s">
        <v>1495</v>
      </c>
      <c r="L137">
        <v>2024</v>
      </c>
    </row>
    <row r="138" spans="1:12" x14ac:dyDescent="0.3">
      <c r="A138" s="1" t="s">
        <v>317</v>
      </c>
      <c r="B138" s="4">
        <v>45981</v>
      </c>
      <c r="C138" s="1" t="s">
        <v>318</v>
      </c>
      <c r="D138" s="1" t="s">
        <v>261</v>
      </c>
      <c r="E138">
        <v>1</v>
      </c>
      <c r="F138">
        <v>176.31</v>
      </c>
      <c r="G138">
        <v>176.31</v>
      </c>
      <c r="H138">
        <v>52.893000000000001</v>
      </c>
      <c r="I138" s="1" t="s">
        <v>15</v>
      </c>
      <c r="J138">
        <v>20</v>
      </c>
      <c r="K138" s="1" t="s">
        <v>1500</v>
      </c>
      <c r="L138">
        <v>2025</v>
      </c>
    </row>
    <row r="139" spans="1:12" x14ac:dyDescent="0.3">
      <c r="A139" s="1" t="s">
        <v>319</v>
      </c>
      <c r="B139" s="4">
        <v>45678</v>
      </c>
      <c r="C139" s="1" t="s">
        <v>320</v>
      </c>
      <c r="D139" s="1" t="s">
        <v>123</v>
      </c>
      <c r="E139">
        <v>3</v>
      </c>
      <c r="F139">
        <v>20.28</v>
      </c>
      <c r="G139">
        <v>60.84</v>
      </c>
      <c r="H139">
        <v>18.251999999999999</v>
      </c>
      <c r="I139" s="1" t="s">
        <v>11</v>
      </c>
      <c r="J139">
        <v>21</v>
      </c>
      <c r="K139" s="1" t="s">
        <v>1493</v>
      </c>
      <c r="L139">
        <v>2025</v>
      </c>
    </row>
    <row r="140" spans="1:12" x14ac:dyDescent="0.3">
      <c r="A140" s="1" t="s">
        <v>321</v>
      </c>
      <c r="B140" s="4">
        <v>45553</v>
      </c>
      <c r="C140" s="1" t="s">
        <v>322</v>
      </c>
      <c r="D140" s="1" t="s">
        <v>30</v>
      </c>
      <c r="E140">
        <v>7</v>
      </c>
      <c r="F140">
        <v>74.61</v>
      </c>
      <c r="G140">
        <v>522.27</v>
      </c>
      <c r="H140">
        <v>156.68099999999998</v>
      </c>
      <c r="I140" s="1" t="s">
        <v>15</v>
      </c>
      <c r="J140">
        <v>18</v>
      </c>
      <c r="K140" s="1" t="s">
        <v>1501</v>
      </c>
      <c r="L140">
        <v>2024</v>
      </c>
    </row>
    <row r="141" spans="1:12" x14ac:dyDescent="0.3">
      <c r="A141" s="1" t="s">
        <v>323</v>
      </c>
      <c r="B141" s="4">
        <v>45566</v>
      </c>
      <c r="C141" s="1" t="s">
        <v>324</v>
      </c>
      <c r="D141" s="1" t="s">
        <v>102</v>
      </c>
      <c r="E141">
        <v>8</v>
      </c>
      <c r="F141">
        <v>41.45</v>
      </c>
      <c r="G141">
        <v>331.6</v>
      </c>
      <c r="H141">
        <v>99.48</v>
      </c>
      <c r="I141" s="1" t="s">
        <v>11</v>
      </c>
      <c r="J141">
        <v>1</v>
      </c>
      <c r="K141" s="1" t="s">
        <v>1490</v>
      </c>
      <c r="L141">
        <v>2024</v>
      </c>
    </row>
    <row r="142" spans="1:12" x14ac:dyDescent="0.3">
      <c r="A142" s="1" t="s">
        <v>325</v>
      </c>
      <c r="B142" s="4">
        <v>45669</v>
      </c>
      <c r="C142" s="1" t="s">
        <v>326</v>
      </c>
      <c r="D142" s="1" t="s">
        <v>327</v>
      </c>
      <c r="E142">
        <v>7</v>
      </c>
      <c r="F142">
        <v>89.24</v>
      </c>
      <c r="G142">
        <v>624.67999999999995</v>
      </c>
      <c r="H142">
        <v>187.40399999999997</v>
      </c>
      <c r="I142" s="1" t="s">
        <v>11</v>
      </c>
      <c r="J142">
        <v>12</v>
      </c>
      <c r="K142" s="1" t="s">
        <v>1493</v>
      </c>
      <c r="L142">
        <v>2025</v>
      </c>
    </row>
    <row r="143" spans="1:12" x14ac:dyDescent="0.3">
      <c r="A143" s="1" t="s">
        <v>328</v>
      </c>
      <c r="B143" s="4">
        <v>45763</v>
      </c>
      <c r="C143" s="1" t="s">
        <v>263</v>
      </c>
      <c r="D143" s="1" t="s">
        <v>114</v>
      </c>
      <c r="E143">
        <v>10</v>
      </c>
      <c r="F143">
        <v>195.89</v>
      </c>
      <c r="G143">
        <v>1958.9</v>
      </c>
      <c r="H143">
        <v>587.66999999999996</v>
      </c>
      <c r="I143" s="1" t="s">
        <v>11</v>
      </c>
      <c r="J143">
        <v>16</v>
      </c>
      <c r="K143" s="1" t="s">
        <v>1496</v>
      </c>
      <c r="L143">
        <v>2025</v>
      </c>
    </row>
    <row r="144" spans="1:12" x14ac:dyDescent="0.3">
      <c r="A144" s="1" t="s">
        <v>329</v>
      </c>
      <c r="B144" s="4">
        <v>45865</v>
      </c>
      <c r="C144" s="1" t="s">
        <v>17</v>
      </c>
      <c r="D144" s="1" t="s">
        <v>156</v>
      </c>
      <c r="E144">
        <v>8</v>
      </c>
      <c r="F144">
        <v>182.55</v>
      </c>
      <c r="G144">
        <v>1460.4</v>
      </c>
      <c r="H144">
        <v>438.12</v>
      </c>
      <c r="I144" s="1" t="s">
        <v>36</v>
      </c>
      <c r="J144">
        <v>27</v>
      </c>
      <c r="K144" s="1" t="s">
        <v>1498</v>
      </c>
      <c r="L144">
        <v>2025</v>
      </c>
    </row>
    <row r="145" spans="1:12" x14ac:dyDescent="0.3">
      <c r="A145" s="1" t="s">
        <v>330</v>
      </c>
      <c r="B145" s="4">
        <v>45429</v>
      </c>
      <c r="C145" s="1" t="s">
        <v>331</v>
      </c>
      <c r="D145" s="1" t="s">
        <v>332</v>
      </c>
      <c r="E145">
        <v>5</v>
      </c>
      <c r="F145">
        <v>115.1</v>
      </c>
      <c r="G145">
        <v>575.5</v>
      </c>
      <c r="H145">
        <v>172.65</v>
      </c>
      <c r="I145" s="1" t="s">
        <v>11</v>
      </c>
      <c r="J145">
        <v>17</v>
      </c>
      <c r="K145" s="1" t="s">
        <v>1492</v>
      </c>
      <c r="L145">
        <v>2024</v>
      </c>
    </row>
    <row r="146" spans="1:12" x14ac:dyDescent="0.3">
      <c r="A146" s="1" t="s">
        <v>333</v>
      </c>
      <c r="B146" s="4">
        <v>45834</v>
      </c>
      <c r="C146" s="1" t="s">
        <v>334</v>
      </c>
      <c r="D146" s="1" t="s">
        <v>244</v>
      </c>
      <c r="E146">
        <v>10</v>
      </c>
      <c r="F146">
        <v>193.35</v>
      </c>
      <c r="G146">
        <v>1933.5</v>
      </c>
      <c r="H146">
        <v>580.04999999999995</v>
      </c>
      <c r="I146" s="1" t="s">
        <v>36</v>
      </c>
      <c r="J146">
        <v>26</v>
      </c>
      <c r="K146" s="1" t="s">
        <v>1497</v>
      </c>
      <c r="L146">
        <v>2025</v>
      </c>
    </row>
    <row r="147" spans="1:12" x14ac:dyDescent="0.3">
      <c r="A147" s="1" t="s">
        <v>335</v>
      </c>
      <c r="B147" s="4">
        <v>45825</v>
      </c>
      <c r="C147" s="1" t="s">
        <v>336</v>
      </c>
      <c r="D147" s="1" t="s">
        <v>176</v>
      </c>
      <c r="E147">
        <v>5</v>
      </c>
      <c r="F147">
        <v>68.41</v>
      </c>
      <c r="G147">
        <v>342.05</v>
      </c>
      <c r="H147">
        <v>102.61499999999999</v>
      </c>
      <c r="I147" s="1" t="s">
        <v>15</v>
      </c>
      <c r="J147">
        <v>17</v>
      </c>
      <c r="K147" s="1" t="s">
        <v>1497</v>
      </c>
      <c r="L147">
        <v>2025</v>
      </c>
    </row>
    <row r="148" spans="1:12" x14ac:dyDescent="0.3">
      <c r="A148" s="1" t="s">
        <v>337</v>
      </c>
      <c r="B148" s="4">
        <v>45642</v>
      </c>
      <c r="C148" s="1" t="s">
        <v>338</v>
      </c>
      <c r="D148" s="1" t="s">
        <v>339</v>
      </c>
      <c r="E148">
        <v>9</v>
      </c>
      <c r="F148">
        <v>73.89</v>
      </c>
      <c r="G148">
        <v>665.01</v>
      </c>
      <c r="H148">
        <v>199.50299999999999</v>
      </c>
      <c r="I148" s="1" t="s">
        <v>19</v>
      </c>
      <c r="J148">
        <v>16</v>
      </c>
      <c r="K148" s="1" t="s">
        <v>1495</v>
      </c>
      <c r="L148">
        <v>2024</v>
      </c>
    </row>
    <row r="149" spans="1:12" x14ac:dyDescent="0.3">
      <c r="A149" s="1" t="s">
        <v>340</v>
      </c>
      <c r="B149" s="4">
        <v>45827</v>
      </c>
      <c r="C149" s="1" t="s">
        <v>341</v>
      </c>
      <c r="D149" s="1" t="s">
        <v>327</v>
      </c>
      <c r="E149">
        <v>1</v>
      </c>
      <c r="F149">
        <v>89.24</v>
      </c>
      <c r="G149">
        <v>89.24</v>
      </c>
      <c r="H149">
        <v>26.771999999999998</v>
      </c>
      <c r="I149" s="1" t="s">
        <v>15</v>
      </c>
      <c r="J149">
        <v>19</v>
      </c>
      <c r="K149" s="1" t="s">
        <v>1497</v>
      </c>
      <c r="L149">
        <v>2025</v>
      </c>
    </row>
    <row r="150" spans="1:12" x14ac:dyDescent="0.3">
      <c r="A150" s="1" t="s">
        <v>342</v>
      </c>
      <c r="B150" s="4">
        <v>45830</v>
      </c>
      <c r="C150" s="1" t="s">
        <v>343</v>
      </c>
      <c r="D150" s="1" t="s">
        <v>33</v>
      </c>
      <c r="E150">
        <v>5</v>
      </c>
      <c r="F150">
        <v>78.92</v>
      </c>
      <c r="G150">
        <v>394.6</v>
      </c>
      <c r="H150">
        <v>118.38</v>
      </c>
      <c r="I150" s="1" t="s">
        <v>19</v>
      </c>
      <c r="J150">
        <v>22</v>
      </c>
      <c r="K150" s="1" t="s">
        <v>1497</v>
      </c>
      <c r="L150">
        <v>2025</v>
      </c>
    </row>
    <row r="151" spans="1:12" x14ac:dyDescent="0.3">
      <c r="A151" s="1" t="s">
        <v>344</v>
      </c>
      <c r="B151" s="4">
        <v>45750</v>
      </c>
      <c r="C151" s="1" t="s">
        <v>211</v>
      </c>
      <c r="D151" s="1" t="s">
        <v>145</v>
      </c>
      <c r="E151">
        <v>6</v>
      </c>
      <c r="F151">
        <v>180.47</v>
      </c>
      <c r="G151">
        <v>1082.82</v>
      </c>
      <c r="H151">
        <v>324.84599999999995</v>
      </c>
      <c r="I151" s="1" t="s">
        <v>11</v>
      </c>
      <c r="J151">
        <v>3</v>
      </c>
      <c r="K151" s="1" t="s">
        <v>1496</v>
      </c>
      <c r="L151">
        <v>2025</v>
      </c>
    </row>
    <row r="152" spans="1:12" x14ac:dyDescent="0.3">
      <c r="A152" s="1" t="s">
        <v>345</v>
      </c>
      <c r="B152" s="4">
        <v>45629</v>
      </c>
      <c r="C152" s="1" t="s">
        <v>346</v>
      </c>
      <c r="D152" s="1" t="s">
        <v>75</v>
      </c>
      <c r="E152">
        <v>8</v>
      </c>
      <c r="F152">
        <v>49.95</v>
      </c>
      <c r="G152">
        <v>399.6</v>
      </c>
      <c r="H152">
        <v>119.88</v>
      </c>
      <c r="I152" s="1" t="s">
        <v>11</v>
      </c>
      <c r="J152">
        <v>3</v>
      </c>
      <c r="K152" s="1" t="s">
        <v>1495</v>
      </c>
      <c r="L152">
        <v>2024</v>
      </c>
    </row>
    <row r="153" spans="1:12" x14ac:dyDescent="0.3">
      <c r="A153" s="1" t="s">
        <v>347</v>
      </c>
      <c r="B153" s="4">
        <v>45791</v>
      </c>
      <c r="C153" s="1" t="s">
        <v>348</v>
      </c>
      <c r="D153" s="1" t="s">
        <v>183</v>
      </c>
      <c r="E153">
        <v>10</v>
      </c>
      <c r="F153">
        <v>12.47</v>
      </c>
      <c r="G153">
        <v>124.7</v>
      </c>
      <c r="H153">
        <v>37.409999999999997</v>
      </c>
      <c r="I153" s="1" t="s">
        <v>15</v>
      </c>
      <c r="J153">
        <v>14</v>
      </c>
      <c r="K153" s="1" t="s">
        <v>1492</v>
      </c>
      <c r="L153">
        <v>2025</v>
      </c>
    </row>
    <row r="154" spans="1:12" x14ac:dyDescent="0.3">
      <c r="A154" s="1" t="s">
        <v>349</v>
      </c>
      <c r="B154" s="4">
        <v>45653</v>
      </c>
      <c r="C154" s="1" t="s">
        <v>350</v>
      </c>
      <c r="D154" s="1" t="s">
        <v>142</v>
      </c>
      <c r="E154">
        <v>4</v>
      </c>
      <c r="F154">
        <v>52.52</v>
      </c>
      <c r="G154">
        <v>210.08</v>
      </c>
      <c r="H154">
        <v>63.024000000000001</v>
      </c>
      <c r="I154" s="1" t="s">
        <v>36</v>
      </c>
      <c r="J154">
        <v>27</v>
      </c>
      <c r="K154" s="1" t="s">
        <v>1495</v>
      </c>
      <c r="L154">
        <v>2024</v>
      </c>
    </row>
    <row r="155" spans="1:12" x14ac:dyDescent="0.3">
      <c r="A155" s="1" t="s">
        <v>351</v>
      </c>
      <c r="B155" s="4">
        <v>45800</v>
      </c>
      <c r="C155" s="1" t="s">
        <v>182</v>
      </c>
      <c r="D155" s="1" t="s">
        <v>332</v>
      </c>
      <c r="E155">
        <v>3</v>
      </c>
      <c r="F155">
        <v>115.1</v>
      </c>
      <c r="G155">
        <v>345.3</v>
      </c>
      <c r="H155">
        <v>103.59</v>
      </c>
      <c r="I155" s="1" t="s">
        <v>15</v>
      </c>
      <c r="J155">
        <v>23</v>
      </c>
      <c r="K155" s="1" t="s">
        <v>1492</v>
      </c>
      <c r="L155">
        <v>2025</v>
      </c>
    </row>
    <row r="156" spans="1:12" x14ac:dyDescent="0.3">
      <c r="A156" s="1" t="s">
        <v>352</v>
      </c>
      <c r="B156" s="4">
        <v>45728</v>
      </c>
      <c r="C156" s="1" t="s">
        <v>211</v>
      </c>
      <c r="D156" s="1" t="s">
        <v>201</v>
      </c>
      <c r="E156">
        <v>1</v>
      </c>
      <c r="F156">
        <v>53.74</v>
      </c>
      <c r="G156">
        <v>53.74</v>
      </c>
      <c r="H156">
        <v>16.122</v>
      </c>
      <c r="I156" s="1" t="s">
        <v>19</v>
      </c>
      <c r="J156">
        <v>12</v>
      </c>
      <c r="K156" s="1" t="s">
        <v>1491</v>
      </c>
      <c r="L156">
        <v>2025</v>
      </c>
    </row>
    <row r="157" spans="1:12" x14ac:dyDescent="0.3">
      <c r="A157" s="1" t="s">
        <v>353</v>
      </c>
      <c r="B157" s="4">
        <v>45896</v>
      </c>
      <c r="C157" s="1" t="s">
        <v>336</v>
      </c>
      <c r="D157" s="1" t="s">
        <v>246</v>
      </c>
      <c r="E157">
        <v>4</v>
      </c>
      <c r="F157">
        <v>17.22</v>
      </c>
      <c r="G157">
        <v>68.88</v>
      </c>
      <c r="H157">
        <v>20.663999999999998</v>
      </c>
      <c r="I157" s="1" t="s">
        <v>36</v>
      </c>
      <c r="J157">
        <v>27</v>
      </c>
      <c r="K157" s="1" t="s">
        <v>1499</v>
      </c>
      <c r="L157">
        <v>2025</v>
      </c>
    </row>
    <row r="158" spans="1:12" x14ac:dyDescent="0.3">
      <c r="A158" s="1" t="s">
        <v>354</v>
      </c>
      <c r="B158" s="4">
        <v>45293</v>
      </c>
      <c r="C158" s="1" t="s">
        <v>355</v>
      </c>
      <c r="D158" s="1" t="s">
        <v>18</v>
      </c>
      <c r="E158">
        <v>5</v>
      </c>
      <c r="F158">
        <v>185.22</v>
      </c>
      <c r="G158">
        <v>926.1</v>
      </c>
      <c r="H158">
        <v>277.83</v>
      </c>
      <c r="I158" s="1" t="s">
        <v>36</v>
      </c>
      <c r="J158">
        <v>2</v>
      </c>
      <c r="K158" s="1" t="s">
        <v>1493</v>
      </c>
      <c r="L158">
        <v>2024</v>
      </c>
    </row>
    <row r="159" spans="1:12" x14ac:dyDescent="0.3">
      <c r="A159" s="1" t="s">
        <v>356</v>
      </c>
      <c r="B159" s="4">
        <v>45956</v>
      </c>
      <c r="C159" s="1" t="s">
        <v>348</v>
      </c>
      <c r="D159" s="1" t="s">
        <v>244</v>
      </c>
      <c r="E159">
        <v>1</v>
      </c>
      <c r="F159">
        <v>193.35</v>
      </c>
      <c r="G159">
        <v>193.35</v>
      </c>
      <c r="H159">
        <v>58.004999999999995</v>
      </c>
      <c r="I159" s="1" t="s">
        <v>19</v>
      </c>
      <c r="J159">
        <v>26</v>
      </c>
      <c r="K159" s="1" t="s">
        <v>1490</v>
      </c>
      <c r="L159">
        <v>2025</v>
      </c>
    </row>
    <row r="160" spans="1:12" x14ac:dyDescent="0.3">
      <c r="A160" s="1" t="s">
        <v>357</v>
      </c>
      <c r="B160" s="4">
        <v>45776</v>
      </c>
      <c r="C160" s="1" t="s">
        <v>38</v>
      </c>
      <c r="D160" s="1" t="s">
        <v>51</v>
      </c>
      <c r="E160">
        <v>3</v>
      </c>
      <c r="F160">
        <v>64.62</v>
      </c>
      <c r="G160">
        <v>193.86</v>
      </c>
      <c r="H160">
        <v>58.158000000000001</v>
      </c>
      <c r="I160" s="1" t="s">
        <v>11</v>
      </c>
      <c r="J160">
        <v>29</v>
      </c>
      <c r="K160" s="1" t="s">
        <v>1496</v>
      </c>
      <c r="L160">
        <v>2025</v>
      </c>
    </row>
    <row r="161" spans="1:12" x14ac:dyDescent="0.3">
      <c r="A161" s="1" t="s">
        <v>358</v>
      </c>
      <c r="B161" s="4">
        <v>45541</v>
      </c>
      <c r="C161" s="1" t="s">
        <v>359</v>
      </c>
      <c r="D161" s="1" t="s">
        <v>83</v>
      </c>
      <c r="E161">
        <v>1</v>
      </c>
      <c r="F161">
        <v>28.49</v>
      </c>
      <c r="G161">
        <v>28.49</v>
      </c>
      <c r="H161">
        <v>8.5469999999999988</v>
      </c>
      <c r="I161" s="1" t="s">
        <v>19</v>
      </c>
      <c r="J161">
        <v>6</v>
      </c>
      <c r="K161" s="1" t="s">
        <v>1501</v>
      </c>
      <c r="L161">
        <v>2024</v>
      </c>
    </row>
    <row r="162" spans="1:12" x14ac:dyDescent="0.3">
      <c r="A162" s="1" t="s">
        <v>360</v>
      </c>
      <c r="B162" s="4">
        <v>45360</v>
      </c>
      <c r="C162" s="1" t="s">
        <v>361</v>
      </c>
      <c r="D162" s="1" t="s">
        <v>277</v>
      </c>
      <c r="E162">
        <v>7</v>
      </c>
      <c r="F162">
        <v>56.18</v>
      </c>
      <c r="G162">
        <v>393.26</v>
      </c>
      <c r="H162">
        <v>117.97799999999999</v>
      </c>
      <c r="I162" s="1" t="s">
        <v>11</v>
      </c>
      <c r="J162">
        <v>9</v>
      </c>
      <c r="K162" s="1" t="s">
        <v>1491</v>
      </c>
      <c r="L162">
        <v>2024</v>
      </c>
    </row>
    <row r="163" spans="1:12" x14ac:dyDescent="0.3">
      <c r="A163" s="1" t="s">
        <v>362</v>
      </c>
      <c r="B163" s="4">
        <v>45294</v>
      </c>
      <c r="C163" s="1" t="s">
        <v>363</v>
      </c>
      <c r="D163" s="1" t="s">
        <v>228</v>
      </c>
      <c r="E163">
        <v>5</v>
      </c>
      <c r="F163">
        <v>104.84</v>
      </c>
      <c r="G163">
        <v>524.20000000000005</v>
      </c>
      <c r="H163">
        <v>157.26000000000002</v>
      </c>
      <c r="I163" s="1" t="s">
        <v>19</v>
      </c>
      <c r="J163">
        <v>3</v>
      </c>
      <c r="K163" s="1" t="s">
        <v>1493</v>
      </c>
      <c r="L163">
        <v>2024</v>
      </c>
    </row>
    <row r="164" spans="1:12" x14ac:dyDescent="0.3">
      <c r="A164" s="1" t="s">
        <v>364</v>
      </c>
      <c r="B164" s="4">
        <v>45768</v>
      </c>
      <c r="C164" s="1" t="s">
        <v>365</v>
      </c>
      <c r="D164" s="1" t="s">
        <v>332</v>
      </c>
      <c r="E164">
        <v>2</v>
      </c>
      <c r="F164">
        <v>115.1</v>
      </c>
      <c r="G164">
        <v>230.2</v>
      </c>
      <c r="H164">
        <v>69.059999999999988</v>
      </c>
      <c r="I164" s="1" t="s">
        <v>36</v>
      </c>
      <c r="J164">
        <v>21</v>
      </c>
      <c r="K164" s="1" t="s">
        <v>1496</v>
      </c>
      <c r="L164">
        <v>2025</v>
      </c>
    </row>
    <row r="165" spans="1:12" x14ac:dyDescent="0.3">
      <c r="A165" s="1" t="s">
        <v>366</v>
      </c>
      <c r="B165" s="4">
        <v>45653</v>
      </c>
      <c r="C165" s="1" t="s">
        <v>367</v>
      </c>
      <c r="D165" s="1" t="s">
        <v>368</v>
      </c>
      <c r="E165">
        <v>6</v>
      </c>
      <c r="F165">
        <v>34.369999999999997</v>
      </c>
      <c r="G165">
        <v>206.22</v>
      </c>
      <c r="H165">
        <v>61.866</v>
      </c>
      <c r="I165" s="1" t="s">
        <v>36</v>
      </c>
      <c r="J165">
        <v>27</v>
      </c>
      <c r="K165" s="1" t="s">
        <v>1495</v>
      </c>
      <c r="L165">
        <v>2024</v>
      </c>
    </row>
    <row r="166" spans="1:12" x14ac:dyDescent="0.3">
      <c r="A166" s="1" t="s">
        <v>369</v>
      </c>
      <c r="B166" s="4">
        <v>45506</v>
      </c>
      <c r="C166" s="1" t="s">
        <v>190</v>
      </c>
      <c r="D166" s="1" t="s">
        <v>10</v>
      </c>
      <c r="E166">
        <v>3</v>
      </c>
      <c r="F166">
        <v>112.61</v>
      </c>
      <c r="G166">
        <v>337.83</v>
      </c>
      <c r="H166">
        <v>101.34899999999999</v>
      </c>
      <c r="I166" s="1" t="s">
        <v>19</v>
      </c>
      <c r="J166">
        <v>2</v>
      </c>
      <c r="K166" s="1" t="s">
        <v>1499</v>
      </c>
      <c r="L166">
        <v>2024</v>
      </c>
    </row>
    <row r="167" spans="1:12" x14ac:dyDescent="0.3">
      <c r="A167" s="1" t="s">
        <v>370</v>
      </c>
      <c r="B167" s="4">
        <v>45881</v>
      </c>
      <c r="C167" s="1" t="s">
        <v>371</v>
      </c>
      <c r="D167" s="1" t="s">
        <v>102</v>
      </c>
      <c r="E167">
        <v>3</v>
      </c>
      <c r="F167">
        <v>41.45</v>
      </c>
      <c r="G167">
        <v>124.35</v>
      </c>
      <c r="H167">
        <v>37.305</v>
      </c>
      <c r="I167" s="1" t="s">
        <v>15</v>
      </c>
      <c r="J167">
        <v>12</v>
      </c>
      <c r="K167" s="1" t="s">
        <v>1499</v>
      </c>
      <c r="L167">
        <v>2025</v>
      </c>
    </row>
    <row r="168" spans="1:12" x14ac:dyDescent="0.3">
      <c r="A168" s="1" t="s">
        <v>372</v>
      </c>
      <c r="B168" s="4">
        <v>45862</v>
      </c>
      <c r="C168" s="1" t="s">
        <v>373</v>
      </c>
      <c r="D168" s="1" t="s">
        <v>57</v>
      </c>
      <c r="E168">
        <v>5</v>
      </c>
      <c r="F168">
        <v>38.93</v>
      </c>
      <c r="G168">
        <v>194.65</v>
      </c>
      <c r="H168">
        <v>58.394999999999996</v>
      </c>
      <c r="I168" s="1" t="s">
        <v>15</v>
      </c>
      <c r="J168">
        <v>24</v>
      </c>
      <c r="K168" s="1" t="s">
        <v>1498</v>
      </c>
      <c r="L168">
        <v>2025</v>
      </c>
    </row>
    <row r="169" spans="1:12" x14ac:dyDescent="0.3">
      <c r="A169" s="1" t="s">
        <v>374</v>
      </c>
      <c r="B169" s="4">
        <v>45927</v>
      </c>
      <c r="C169" s="1" t="s">
        <v>17</v>
      </c>
      <c r="D169" s="1" t="s">
        <v>99</v>
      </c>
      <c r="E169">
        <v>9</v>
      </c>
      <c r="F169">
        <v>162.96</v>
      </c>
      <c r="G169">
        <v>1466.64</v>
      </c>
      <c r="H169">
        <v>439.99200000000002</v>
      </c>
      <c r="I169" s="1" t="s">
        <v>15</v>
      </c>
      <c r="J169">
        <v>27</v>
      </c>
      <c r="K169" s="1" t="s">
        <v>1501</v>
      </c>
      <c r="L169">
        <v>2025</v>
      </c>
    </row>
    <row r="170" spans="1:12" x14ac:dyDescent="0.3">
      <c r="A170" s="1" t="s">
        <v>375</v>
      </c>
      <c r="B170" s="4">
        <v>45511</v>
      </c>
      <c r="C170" s="1" t="s">
        <v>363</v>
      </c>
      <c r="D170" s="1" t="s">
        <v>18</v>
      </c>
      <c r="E170">
        <v>6</v>
      </c>
      <c r="F170">
        <v>185.22</v>
      </c>
      <c r="G170">
        <v>1111.32</v>
      </c>
      <c r="H170">
        <v>333.39599999999996</v>
      </c>
      <c r="I170" s="1" t="s">
        <v>15</v>
      </c>
      <c r="J170">
        <v>7</v>
      </c>
      <c r="K170" s="1" t="s">
        <v>1499</v>
      </c>
      <c r="L170">
        <v>2024</v>
      </c>
    </row>
    <row r="171" spans="1:12" x14ac:dyDescent="0.3">
      <c r="A171" s="1" t="s">
        <v>376</v>
      </c>
      <c r="B171" s="4">
        <v>45564</v>
      </c>
      <c r="C171" s="1" t="s">
        <v>377</v>
      </c>
      <c r="D171" s="1" t="s">
        <v>57</v>
      </c>
      <c r="E171">
        <v>9</v>
      </c>
      <c r="F171">
        <v>38.93</v>
      </c>
      <c r="G171">
        <v>350.37</v>
      </c>
      <c r="H171">
        <v>105.111</v>
      </c>
      <c r="I171" s="1" t="s">
        <v>15</v>
      </c>
      <c r="J171">
        <v>29</v>
      </c>
      <c r="K171" s="1" t="s">
        <v>1501</v>
      </c>
      <c r="L171">
        <v>2024</v>
      </c>
    </row>
    <row r="172" spans="1:12" x14ac:dyDescent="0.3">
      <c r="A172" s="1" t="s">
        <v>378</v>
      </c>
      <c r="B172" s="4">
        <v>45612</v>
      </c>
      <c r="C172" s="1" t="s">
        <v>379</v>
      </c>
      <c r="D172" s="1" t="s">
        <v>57</v>
      </c>
      <c r="E172">
        <v>6</v>
      </c>
      <c r="F172">
        <v>38.93</v>
      </c>
      <c r="G172">
        <v>233.58</v>
      </c>
      <c r="H172">
        <v>70.073999999999998</v>
      </c>
      <c r="I172" s="1" t="s">
        <v>15</v>
      </c>
      <c r="J172">
        <v>16</v>
      </c>
      <c r="K172" s="1" t="s">
        <v>1500</v>
      </c>
      <c r="L172">
        <v>2024</v>
      </c>
    </row>
    <row r="173" spans="1:12" x14ac:dyDescent="0.3">
      <c r="A173" s="1" t="s">
        <v>380</v>
      </c>
      <c r="B173" s="4">
        <v>45499</v>
      </c>
      <c r="C173" s="1" t="s">
        <v>281</v>
      </c>
      <c r="D173" s="1" t="s">
        <v>153</v>
      </c>
      <c r="E173">
        <v>9</v>
      </c>
      <c r="F173">
        <v>60.32</v>
      </c>
      <c r="G173">
        <v>542.88</v>
      </c>
      <c r="H173">
        <v>162.864</v>
      </c>
      <c r="I173" s="1" t="s">
        <v>11</v>
      </c>
      <c r="J173">
        <v>26</v>
      </c>
      <c r="K173" s="1" t="s">
        <v>1498</v>
      </c>
      <c r="L173">
        <v>2024</v>
      </c>
    </row>
    <row r="174" spans="1:12" x14ac:dyDescent="0.3">
      <c r="A174" s="1" t="s">
        <v>381</v>
      </c>
      <c r="B174" s="4">
        <v>46011</v>
      </c>
      <c r="C174" s="1" t="s">
        <v>382</v>
      </c>
      <c r="D174" s="1" t="s">
        <v>228</v>
      </c>
      <c r="E174">
        <v>8</v>
      </c>
      <c r="F174">
        <v>104.84</v>
      </c>
      <c r="G174">
        <v>838.72</v>
      </c>
      <c r="H174">
        <v>251.61599999999999</v>
      </c>
      <c r="I174" s="1" t="s">
        <v>36</v>
      </c>
      <c r="J174">
        <v>20</v>
      </c>
      <c r="K174" s="1" t="s">
        <v>1495</v>
      </c>
      <c r="L174">
        <v>2025</v>
      </c>
    </row>
    <row r="175" spans="1:12" x14ac:dyDescent="0.3">
      <c r="A175" s="1" t="s">
        <v>383</v>
      </c>
      <c r="B175" s="4">
        <v>45871</v>
      </c>
      <c r="C175" s="1" t="s">
        <v>9</v>
      </c>
      <c r="D175" s="1" t="s">
        <v>183</v>
      </c>
      <c r="E175">
        <v>9</v>
      </c>
      <c r="F175">
        <v>12.47</v>
      </c>
      <c r="G175">
        <v>112.23</v>
      </c>
      <c r="H175">
        <v>33.668999999999997</v>
      </c>
      <c r="I175" s="1" t="s">
        <v>15</v>
      </c>
      <c r="J175">
        <v>2</v>
      </c>
      <c r="K175" s="1" t="s">
        <v>1499</v>
      </c>
      <c r="L175">
        <v>2025</v>
      </c>
    </row>
    <row r="176" spans="1:12" x14ac:dyDescent="0.3">
      <c r="A176" s="1" t="s">
        <v>384</v>
      </c>
      <c r="B176" s="4">
        <v>45733</v>
      </c>
      <c r="C176" s="1" t="s">
        <v>385</v>
      </c>
      <c r="D176" s="1" t="s">
        <v>18</v>
      </c>
      <c r="E176">
        <v>8</v>
      </c>
      <c r="F176">
        <v>185.22</v>
      </c>
      <c r="G176">
        <v>1481.76</v>
      </c>
      <c r="H176">
        <v>444.52799999999996</v>
      </c>
      <c r="I176" s="1" t="s">
        <v>36</v>
      </c>
      <c r="J176">
        <v>17</v>
      </c>
      <c r="K176" s="1" t="s">
        <v>1491</v>
      </c>
      <c r="L176">
        <v>2025</v>
      </c>
    </row>
    <row r="177" spans="1:12" x14ac:dyDescent="0.3">
      <c r="A177" s="1" t="s">
        <v>386</v>
      </c>
      <c r="B177" s="4">
        <v>45407</v>
      </c>
      <c r="C177" s="1" t="s">
        <v>387</v>
      </c>
      <c r="D177" s="1" t="s">
        <v>51</v>
      </c>
      <c r="E177">
        <v>9</v>
      </c>
      <c r="F177">
        <v>64.62</v>
      </c>
      <c r="G177">
        <v>581.58000000000004</v>
      </c>
      <c r="H177">
        <v>174.47400000000002</v>
      </c>
      <c r="I177" s="1" t="s">
        <v>19</v>
      </c>
      <c r="J177">
        <v>25</v>
      </c>
      <c r="K177" s="1" t="s">
        <v>1496</v>
      </c>
      <c r="L177">
        <v>2024</v>
      </c>
    </row>
    <row r="178" spans="1:12" x14ac:dyDescent="0.3">
      <c r="A178" s="1" t="s">
        <v>388</v>
      </c>
      <c r="B178" s="4">
        <v>45751</v>
      </c>
      <c r="C178" s="1" t="s">
        <v>389</v>
      </c>
      <c r="D178" s="1" t="s">
        <v>80</v>
      </c>
      <c r="E178">
        <v>1</v>
      </c>
      <c r="F178">
        <v>48.76</v>
      </c>
      <c r="G178">
        <v>48.76</v>
      </c>
      <c r="H178">
        <v>14.627999999999998</v>
      </c>
      <c r="I178" s="1" t="s">
        <v>36</v>
      </c>
      <c r="J178">
        <v>4</v>
      </c>
      <c r="K178" s="1" t="s">
        <v>1496</v>
      </c>
      <c r="L178">
        <v>2025</v>
      </c>
    </row>
    <row r="179" spans="1:12" x14ac:dyDescent="0.3">
      <c r="A179" s="1" t="s">
        <v>390</v>
      </c>
      <c r="B179" s="4">
        <v>45981</v>
      </c>
      <c r="C179" s="1" t="s">
        <v>322</v>
      </c>
      <c r="D179" s="1" t="s">
        <v>57</v>
      </c>
      <c r="E179">
        <v>1</v>
      </c>
      <c r="F179">
        <v>38.93</v>
      </c>
      <c r="G179">
        <v>38.93</v>
      </c>
      <c r="H179">
        <v>11.679</v>
      </c>
      <c r="I179" s="1" t="s">
        <v>19</v>
      </c>
      <c r="J179">
        <v>20</v>
      </c>
      <c r="K179" s="1" t="s">
        <v>1500</v>
      </c>
      <c r="L179">
        <v>2025</v>
      </c>
    </row>
    <row r="180" spans="1:12" x14ac:dyDescent="0.3">
      <c r="A180" s="1" t="s">
        <v>391</v>
      </c>
      <c r="B180" s="4">
        <v>45314</v>
      </c>
      <c r="C180" s="1" t="s">
        <v>392</v>
      </c>
      <c r="D180" s="1" t="s">
        <v>39</v>
      </c>
      <c r="E180">
        <v>3</v>
      </c>
      <c r="F180">
        <v>18.850000000000001</v>
      </c>
      <c r="G180">
        <v>56.55</v>
      </c>
      <c r="H180">
        <v>16.965</v>
      </c>
      <c r="I180" s="1" t="s">
        <v>11</v>
      </c>
      <c r="J180">
        <v>23</v>
      </c>
      <c r="K180" s="1" t="s">
        <v>1493</v>
      </c>
      <c r="L180">
        <v>2024</v>
      </c>
    </row>
    <row r="181" spans="1:12" x14ac:dyDescent="0.3">
      <c r="A181" s="1" t="s">
        <v>393</v>
      </c>
      <c r="B181" s="4">
        <v>45924</v>
      </c>
      <c r="C181" s="1" t="s">
        <v>394</v>
      </c>
      <c r="D181" s="1" t="s">
        <v>327</v>
      </c>
      <c r="E181">
        <v>5</v>
      </c>
      <c r="F181">
        <v>89.24</v>
      </c>
      <c r="G181">
        <v>446.2</v>
      </c>
      <c r="H181">
        <v>133.85999999999999</v>
      </c>
      <c r="I181" s="1" t="s">
        <v>11</v>
      </c>
      <c r="J181">
        <v>24</v>
      </c>
      <c r="K181" s="1" t="s">
        <v>1501</v>
      </c>
      <c r="L181">
        <v>2025</v>
      </c>
    </row>
    <row r="182" spans="1:12" x14ac:dyDescent="0.3">
      <c r="A182" s="1" t="s">
        <v>395</v>
      </c>
      <c r="B182" s="4">
        <v>45699</v>
      </c>
      <c r="C182" s="1" t="s">
        <v>320</v>
      </c>
      <c r="D182" s="1" t="s">
        <v>45</v>
      </c>
      <c r="E182">
        <v>9</v>
      </c>
      <c r="F182">
        <v>24.62</v>
      </c>
      <c r="G182">
        <v>221.58</v>
      </c>
      <c r="H182">
        <v>66.474000000000004</v>
      </c>
      <c r="I182" s="1" t="s">
        <v>19</v>
      </c>
      <c r="J182">
        <v>11</v>
      </c>
      <c r="K182" s="1" t="s">
        <v>1494</v>
      </c>
      <c r="L182">
        <v>2025</v>
      </c>
    </row>
    <row r="183" spans="1:12" x14ac:dyDescent="0.3">
      <c r="A183" s="1" t="s">
        <v>396</v>
      </c>
      <c r="B183" s="4">
        <v>45420</v>
      </c>
      <c r="C183" s="1" t="s">
        <v>127</v>
      </c>
      <c r="D183" s="1" t="s">
        <v>30</v>
      </c>
      <c r="E183">
        <v>4</v>
      </c>
      <c r="F183">
        <v>74.61</v>
      </c>
      <c r="G183">
        <v>298.44</v>
      </c>
      <c r="H183">
        <v>89.531999999999996</v>
      </c>
      <c r="I183" s="1" t="s">
        <v>11</v>
      </c>
      <c r="J183">
        <v>8</v>
      </c>
      <c r="K183" s="1" t="s">
        <v>1492</v>
      </c>
      <c r="L183">
        <v>2024</v>
      </c>
    </row>
    <row r="184" spans="1:12" x14ac:dyDescent="0.3">
      <c r="A184" s="1" t="s">
        <v>397</v>
      </c>
      <c r="B184" s="4">
        <v>45462</v>
      </c>
      <c r="C184" s="1" t="s">
        <v>398</v>
      </c>
      <c r="D184" s="1" t="s">
        <v>339</v>
      </c>
      <c r="E184">
        <v>1</v>
      </c>
      <c r="F184">
        <v>73.89</v>
      </c>
      <c r="G184">
        <v>73.89</v>
      </c>
      <c r="H184">
        <v>22.166999999999998</v>
      </c>
      <c r="I184" s="1" t="s">
        <v>19</v>
      </c>
      <c r="J184">
        <v>19</v>
      </c>
      <c r="K184" s="1" t="s">
        <v>1497</v>
      </c>
      <c r="L184">
        <v>2024</v>
      </c>
    </row>
    <row r="185" spans="1:12" x14ac:dyDescent="0.3">
      <c r="A185" s="1" t="s">
        <v>399</v>
      </c>
      <c r="B185" s="4">
        <v>45856</v>
      </c>
      <c r="C185" s="1" t="s">
        <v>336</v>
      </c>
      <c r="D185" s="1" t="s">
        <v>111</v>
      </c>
      <c r="E185">
        <v>2</v>
      </c>
      <c r="F185">
        <v>91.3</v>
      </c>
      <c r="G185">
        <v>182.6</v>
      </c>
      <c r="H185">
        <v>54.779999999999994</v>
      </c>
      <c r="I185" s="1" t="s">
        <v>15</v>
      </c>
      <c r="J185">
        <v>18</v>
      </c>
      <c r="K185" s="1" t="s">
        <v>1498</v>
      </c>
      <c r="L185">
        <v>2025</v>
      </c>
    </row>
    <row r="186" spans="1:12" x14ac:dyDescent="0.3">
      <c r="A186" s="1" t="s">
        <v>400</v>
      </c>
      <c r="B186" s="4">
        <v>45303</v>
      </c>
      <c r="C186" s="1" t="s">
        <v>401</v>
      </c>
      <c r="D186" s="1" t="s">
        <v>201</v>
      </c>
      <c r="E186">
        <v>5</v>
      </c>
      <c r="F186">
        <v>53.74</v>
      </c>
      <c r="G186">
        <v>268.7</v>
      </c>
      <c r="H186">
        <v>80.61</v>
      </c>
      <c r="I186" s="1" t="s">
        <v>11</v>
      </c>
      <c r="J186">
        <v>12</v>
      </c>
      <c r="K186" s="1" t="s">
        <v>1493</v>
      </c>
      <c r="L186">
        <v>2024</v>
      </c>
    </row>
    <row r="187" spans="1:12" x14ac:dyDescent="0.3">
      <c r="A187" s="1" t="s">
        <v>402</v>
      </c>
      <c r="B187" s="4">
        <v>45902</v>
      </c>
      <c r="C187" s="1" t="s">
        <v>403</v>
      </c>
      <c r="D187" s="1" t="s">
        <v>27</v>
      </c>
      <c r="E187">
        <v>1</v>
      </c>
      <c r="F187">
        <v>35.03</v>
      </c>
      <c r="G187">
        <v>35.03</v>
      </c>
      <c r="H187">
        <v>10.509</v>
      </c>
      <c r="I187" s="1" t="s">
        <v>15</v>
      </c>
      <c r="J187">
        <v>2</v>
      </c>
      <c r="K187" s="1" t="s">
        <v>1501</v>
      </c>
      <c r="L187">
        <v>2025</v>
      </c>
    </row>
    <row r="188" spans="1:12" x14ac:dyDescent="0.3">
      <c r="A188" s="1" t="s">
        <v>404</v>
      </c>
      <c r="B188" s="4">
        <v>45820</v>
      </c>
      <c r="C188" s="1" t="s">
        <v>241</v>
      </c>
      <c r="D188" s="1" t="s">
        <v>42</v>
      </c>
      <c r="E188">
        <v>9</v>
      </c>
      <c r="F188">
        <v>165.9</v>
      </c>
      <c r="G188">
        <v>1493.1</v>
      </c>
      <c r="H188">
        <v>447.92999999999995</v>
      </c>
      <c r="I188" s="1" t="s">
        <v>15</v>
      </c>
      <c r="J188">
        <v>12</v>
      </c>
      <c r="K188" s="1" t="s">
        <v>1497</v>
      </c>
      <c r="L188">
        <v>2025</v>
      </c>
    </row>
    <row r="189" spans="1:12" x14ac:dyDescent="0.3">
      <c r="A189" s="1" t="s">
        <v>405</v>
      </c>
      <c r="B189" s="4">
        <v>45876</v>
      </c>
      <c r="C189" s="1" t="s">
        <v>406</v>
      </c>
      <c r="D189" s="1" t="s">
        <v>183</v>
      </c>
      <c r="E189">
        <v>6</v>
      </c>
      <c r="F189">
        <v>12.47</v>
      </c>
      <c r="G189">
        <v>74.819999999999993</v>
      </c>
      <c r="H189">
        <v>22.445999999999998</v>
      </c>
      <c r="I189" s="1" t="s">
        <v>36</v>
      </c>
      <c r="J189">
        <v>7</v>
      </c>
      <c r="K189" s="1" t="s">
        <v>1499</v>
      </c>
      <c r="L189">
        <v>2025</v>
      </c>
    </row>
    <row r="190" spans="1:12" x14ac:dyDescent="0.3">
      <c r="A190" s="1" t="s">
        <v>407</v>
      </c>
      <c r="B190" s="4">
        <v>45584</v>
      </c>
      <c r="C190" s="1" t="s">
        <v>408</v>
      </c>
      <c r="D190" s="1" t="s">
        <v>332</v>
      </c>
      <c r="E190">
        <v>9</v>
      </c>
      <c r="F190">
        <v>115.1</v>
      </c>
      <c r="G190">
        <v>1035.9000000000001</v>
      </c>
      <c r="H190">
        <v>310.77000000000004</v>
      </c>
      <c r="I190" s="1" t="s">
        <v>11</v>
      </c>
      <c r="J190">
        <v>19</v>
      </c>
      <c r="K190" s="1" t="s">
        <v>1490</v>
      </c>
      <c r="L190">
        <v>2024</v>
      </c>
    </row>
    <row r="191" spans="1:12" x14ac:dyDescent="0.3">
      <c r="A191" s="1" t="s">
        <v>409</v>
      </c>
      <c r="B191" s="4">
        <v>45668</v>
      </c>
      <c r="C191" s="1" t="s">
        <v>410</v>
      </c>
      <c r="D191" s="1" t="s">
        <v>102</v>
      </c>
      <c r="E191">
        <v>8</v>
      </c>
      <c r="F191">
        <v>41.45</v>
      </c>
      <c r="G191">
        <v>331.6</v>
      </c>
      <c r="H191">
        <v>99.48</v>
      </c>
      <c r="I191" s="1" t="s">
        <v>19</v>
      </c>
      <c r="J191">
        <v>11</v>
      </c>
      <c r="K191" s="1" t="s">
        <v>1493</v>
      </c>
      <c r="L191">
        <v>2025</v>
      </c>
    </row>
    <row r="192" spans="1:12" x14ac:dyDescent="0.3">
      <c r="A192" s="1" t="s">
        <v>411</v>
      </c>
      <c r="B192" s="4">
        <v>45862</v>
      </c>
      <c r="C192" s="1" t="s">
        <v>412</v>
      </c>
      <c r="D192" s="1" t="s">
        <v>60</v>
      </c>
      <c r="E192">
        <v>6</v>
      </c>
      <c r="F192">
        <v>107.88</v>
      </c>
      <c r="G192">
        <v>647.28</v>
      </c>
      <c r="H192">
        <v>194.184</v>
      </c>
      <c r="I192" s="1" t="s">
        <v>11</v>
      </c>
      <c r="J192">
        <v>24</v>
      </c>
      <c r="K192" s="1" t="s">
        <v>1498</v>
      </c>
      <c r="L192">
        <v>2025</v>
      </c>
    </row>
    <row r="193" spans="1:12" x14ac:dyDescent="0.3">
      <c r="A193" s="1" t="s">
        <v>413</v>
      </c>
      <c r="B193" s="4">
        <v>45981</v>
      </c>
      <c r="C193" s="1" t="s">
        <v>334</v>
      </c>
      <c r="D193" s="1" t="s">
        <v>102</v>
      </c>
      <c r="E193">
        <v>9</v>
      </c>
      <c r="F193">
        <v>41.45</v>
      </c>
      <c r="G193">
        <v>373.05</v>
      </c>
      <c r="H193">
        <v>111.91500000000001</v>
      </c>
      <c r="I193" s="1" t="s">
        <v>15</v>
      </c>
      <c r="J193">
        <v>20</v>
      </c>
      <c r="K193" s="1" t="s">
        <v>1500</v>
      </c>
      <c r="L193">
        <v>2025</v>
      </c>
    </row>
    <row r="194" spans="1:12" x14ac:dyDescent="0.3">
      <c r="A194" s="1" t="s">
        <v>414</v>
      </c>
      <c r="B194" s="4">
        <v>45558</v>
      </c>
      <c r="C194" s="1" t="s">
        <v>406</v>
      </c>
      <c r="D194" s="1" t="s">
        <v>332</v>
      </c>
      <c r="E194">
        <v>2</v>
      </c>
      <c r="F194">
        <v>115.1</v>
      </c>
      <c r="G194">
        <v>230.2</v>
      </c>
      <c r="H194">
        <v>69.059999999999988</v>
      </c>
      <c r="I194" s="1" t="s">
        <v>36</v>
      </c>
      <c r="J194">
        <v>23</v>
      </c>
      <c r="K194" s="1" t="s">
        <v>1501</v>
      </c>
      <c r="L194">
        <v>2024</v>
      </c>
    </row>
    <row r="195" spans="1:12" x14ac:dyDescent="0.3">
      <c r="A195" s="1" t="s">
        <v>415</v>
      </c>
      <c r="B195" s="4">
        <v>45426</v>
      </c>
      <c r="C195" s="1" t="s">
        <v>371</v>
      </c>
      <c r="D195" s="1" t="s">
        <v>57</v>
      </c>
      <c r="E195">
        <v>7</v>
      </c>
      <c r="F195">
        <v>38.93</v>
      </c>
      <c r="G195">
        <v>272.51</v>
      </c>
      <c r="H195">
        <v>81.753</v>
      </c>
      <c r="I195" s="1" t="s">
        <v>36</v>
      </c>
      <c r="J195">
        <v>14</v>
      </c>
      <c r="K195" s="1" t="s">
        <v>1492</v>
      </c>
      <c r="L195">
        <v>2024</v>
      </c>
    </row>
    <row r="196" spans="1:12" x14ac:dyDescent="0.3">
      <c r="A196" s="1" t="s">
        <v>416</v>
      </c>
      <c r="B196" s="4">
        <v>45332</v>
      </c>
      <c r="C196" s="1" t="s">
        <v>232</v>
      </c>
      <c r="D196" s="1" t="s">
        <v>39</v>
      </c>
      <c r="E196">
        <v>8</v>
      </c>
      <c r="F196">
        <v>18.850000000000001</v>
      </c>
      <c r="G196">
        <v>150.80000000000001</v>
      </c>
      <c r="H196">
        <v>45.24</v>
      </c>
      <c r="I196" s="1" t="s">
        <v>11</v>
      </c>
      <c r="J196">
        <v>10</v>
      </c>
      <c r="K196" s="1" t="s">
        <v>1494</v>
      </c>
      <c r="L196">
        <v>2024</v>
      </c>
    </row>
    <row r="197" spans="1:12" x14ac:dyDescent="0.3">
      <c r="A197" s="1" t="s">
        <v>417</v>
      </c>
      <c r="B197" s="4">
        <v>45626</v>
      </c>
      <c r="C197" s="1" t="s">
        <v>418</v>
      </c>
      <c r="D197" s="1" t="s">
        <v>165</v>
      </c>
      <c r="E197">
        <v>7</v>
      </c>
      <c r="F197">
        <v>29.47</v>
      </c>
      <c r="G197">
        <v>206.29</v>
      </c>
      <c r="H197">
        <v>61.886999999999993</v>
      </c>
      <c r="I197" s="1" t="s">
        <v>11</v>
      </c>
      <c r="J197">
        <v>30</v>
      </c>
      <c r="K197" s="1" t="s">
        <v>1500</v>
      </c>
      <c r="L197">
        <v>2024</v>
      </c>
    </row>
    <row r="198" spans="1:12" x14ac:dyDescent="0.3">
      <c r="A198" s="1" t="s">
        <v>419</v>
      </c>
      <c r="B198" s="4">
        <v>45703</v>
      </c>
      <c r="C198" s="1" t="s">
        <v>326</v>
      </c>
      <c r="D198" s="1" t="s">
        <v>39</v>
      </c>
      <c r="E198">
        <v>2</v>
      </c>
      <c r="F198">
        <v>18.850000000000001</v>
      </c>
      <c r="G198">
        <v>37.700000000000003</v>
      </c>
      <c r="H198">
        <v>11.31</v>
      </c>
      <c r="I198" s="1" t="s">
        <v>36</v>
      </c>
      <c r="J198">
        <v>15</v>
      </c>
      <c r="K198" s="1" t="s">
        <v>1494</v>
      </c>
      <c r="L198">
        <v>2025</v>
      </c>
    </row>
    <row r="199" spans="1:12" x14ac:dyDescent="0.3">
      <c r="A199" s="1" t="s">
        <v>420</v>
      </c>
      <c r="B199" s="4">
        <v>45452</v>
      </c>
      <c r="C199" s="1" t="s">
        <v>421</v>
      </c>
      <c r="D199" s="1" t="s">
        <v>57</v>
      </c>
      <c r="E199">
        <v>4</v>
      </c>
      <c r="F199">
        <v>38.93</v>
      </c>
      <c r="G199">
        <v>155.72</v>
      </c>
      <c r="H199">
        <v>46.716000000000001</v>
      </c>
      <c r="I199" s="1" t="s">
        <v>15</v>
      </c>
      <c r="J199">
        <v>9</v>
      </c>
      <c r="K199" s="1" t="s">
        <v>1497</v>
      </c>
      <c r="L199">
        <v>2024</v>
      </c>
    </row>
    <row r="200" spans="1:12" x14ac:dyDescent="0.3">
      <c r="A200" s="1" t="s">
        <v>422</v>
      </c>
      <c r="B200" s="4">
        <v>45488</v>
      </c>
      <c r="C200" s="1" t="s">
        <v>423</v>
      </c>
      <c r="D200" s="1" t="s">
        <v>80</v>
      </c>
      <c r="E200">
        <v>8</v>
      </c>
      <c r="F200">
        <v>48.76</v>
      </c>
      <c r="G200">
        <v>390.08</v>
      </c>
      <c r="H200">
        <v>117.02399999999999</v>
      </c>
      <c r="I200" s="1" t="s">
        <v>11</v>
      </c>
      <c r="J200">
        <v>15</v>
      </c>
      <c r="K200" s="1" t="s">
        <v>1498</v>
      </c>
      <c r="L200">
        <v>2024</v>
      </c>
    </row>
    <row r="201" spans="1:12" x14ac:dyDescent="0.3">
      <c r="A201" s="1" t="s">
        <v>424</v>
      </c>
      <c r="B201" s="4">
        <v>45631</v>
      </c>
      <c r="C201" s="1" t="s">
        <v>425</v>
      </c>
      <c r="D201" s="1" t="s">
        <v>33</v>
      </c>
      <c r="E201">
        <v>1</v>
      </c>
      <c r="F201">
        <v>78.92</v>
      </c>
      <c r="G201">
        <v>78.92</v>
      </c>
      <c r="H201">
        <v>23.675999999999998</v>
      </c>
      <c r="I201" s="1" t="s">
        <v>19</v>
      </c>
      <c r="J201">
        <v>5</v>
      </c>
      <c r="K201" s="1" t="s">
        <v>1495</v>
      </c>
      <c r="L201">
        <v>2024</v>
      </c>
    </row>
    <row r="202" spans="1:12" x14ac:dyDescent="0.3">
      <c r="A202" s="1" t="s">
        <v>426</v>
      </c>
      <c r="B202" s="4">
        <v>45783</v>
      </c>
      <c r="C202" s="1" t="s">
        <v>427</v>
      </c>
      <c r="D202" s="1" t="s">
        <v>48</v>
      </c>
      <c r="E202">
        <v>4</v>
      </c>
      <c r="F202">
        <v>17.64</v>
      </c>
      <c r="G202">
        <v>70.56</v>
      </c>
      <c r="H202">
        <v>21.167999999999999</v>
      </c>
      <c r="I202" s="1" t="s">
        <v>36</v>
      </c>
      <c r="J202">
        <v>6</v>
      </c>
      <c r="K202" s="1" t="s">
        <v>1492</v>
      </c>
      <c r="L202">
        <v>2025</v>
      </c>
    </row>
    <row r="203" spans="1:12" x14ac:dyDescent="0.3">
      <c r="A203" s="1" t="s">
        <v>428</v>
      </c>
      <c r="B203" s="4">
        <v>45375</v>
      </c>
      <c r="C203" s="1" t="s">
        <v>429</v>
      </c>
      <c r="D203" s="1" t="s">
        <v>156</v>
      </c>
      <c r="E203">
        <v>9</v>
      </c>
      <c r="F203">
        <v>182.55</v>
      </c>
      <c r="G203">
        <v>1642.95</v>
      </c>
      <c r="H203">
        <v>492.88499999999999</v>
      </c>
      <c r="I203" s="1" t="s">
        <v>11</v>
      </c>
      <c r="J203">
        <v>24</v>
      </c>
      <c r="K203" s="1" t="s">
        <v>1491</v>
      </c>
      <c r="L203">
        <v>2024</v>
      </c>
    </row>
    <row r="204" spans="1:12" x14ac:dyDescent="0.3">
      <c r="A204" s="1" t="s">
        <v>430</v>
      </c>
      <c r="B204" s="4">
        <v>45498</v>
      </c>
      <c r="C204" s="1" t="s">
        <v>431</v>
      </c>
      <c r="D204" s="1" t="s">
        <v>132</v>
      </c>
      <c r="E204">
        <v>9</v>
      </c>
      <c r="F204">
        <v>52.45</v>
      </c>
      <c r="G204">
        <v>472.05</v>
      </c>
      <c r="H204">
        <v>141.61500000000001</v>
      </c>
      <c r="I204" s="1" t="s">
        <v>15</v>
      </c>
      <c r="J204">
        <v>25</v>
      </c>
      <c r="K204" s="1" t="s">
        <v>1498</v>
      </c>
      <c r="L204">
        <v>2024</v>
      </c>
    </row>
    <row r="205" spans="1:12" x14ac:dyDescent="0.3">
      <c r="A205" s="1" t="s">
        <v>432</v>
      </c>
      <c r="B205" s="4">
        <v>45975</v>
      </c>
      <c r="C205" s="1" t="s">
        <v>408</v>
      </c>
      <c r="D205" s="1" t="s">
        <v>51</v>
      </c>
      <c r="E205">
        <v>5</v>
      </c>
      <c r="F205">
        <v>64.62</v>
      </c>
      <c r="G205">
        <v>323.10000000000002</v>
      </c>
      <c r="H205">
        <v>96.93</v>
      </c>
      <c r="I205" s="1" t="s">
        <v>15</v>
      </c>
      <c r="J205">
        <v>14</v>
      </c>
      <c r="K205" s="1" t="s">
        <v>1500</v>
      </c>
      <c r="L205">
        <v>2025</v>
      </c>
    </row>
    <row r="206" spans="1:12" x14ac:dyDescent="0.3">
      <c r="A206" s="1" t="s">
        <v>433</v>
      </c>
      <c r="B206" s="4">
        <v>45581</v>
      </c>
      <c r="C206" s="1" t="s">
        <v>434</v>
      </c>
      <c r="D206" s="1" t="s">
        <v>183</v>
      </c>
      <c r="E206">
        <v>2</v>
      </c>
      <c r="F206">
        <v>12.47</v>
      </c>
      <c r="G206">
        <v>24.94</v>
      </c>
      <c r="H206">
        <v>7.4820000000000002</v>
      </c>
      <c r="I206" s="1" t="s">
        <v>36</v>
      </c>
      <c r="J206">
        <v>16</v>
      </c>
      <c r="K206" s="1" t="s">
        <v>1490</v>
      </c>
      <c r="L206">
        <v>2024</v>
      </c>
    </row>
    <row r="207" spans="1:12" x14ac:dyDescent="0.3">
      <c r="A207" s="1" t="s">
        <v>435</v>
      </c>
      <c r="B207" s="4">
        <v>45820</v>
      </c>
      <c r="C207" s="1" t="s">
        <v>270</v>
      </c>
      <c r="D207" s="1" t="s">
        <v>277</v>
      </c>
      <c r="E207">
        <v>10</v>
      </c>
      <c r="F207">
        <v>56.18</v>
      </c>
      <c r="G207">
        <v>561.79999999999995</v>
      </c>
      <c r="H207">
        <v>168.54</v>
      </c>
      <c r="I207" s="1" t="s">
        <v>15</v>
      </c>
      <c r="J207">
        <v>12</v>
      </c>
      <c r="K207" s="1" t="s">
        <v>1497</v>
      </c>
      <c r="L207">
        <v>2025</v>
      </c>
    </row>
    <row r="208" spans="1:12" x14ac:dyDescent="0.3">
      <c r="A208" s="1" t="s">
        <v>436</v>
      </c>
      <c r="B208" s="4">
        <v>45809</v>
      </c>
      <c r="C208" s="1" t="s">
        <v>127</v>
      </c>
      <c r="D208" s="1" t="s">
        <v>67</v>
      </c>
      <c r="E208">
        <v>9</v>
      </c>
      <c r="F208">
        <v>29.94</v>
      </c>
      <c r="G208">
        <v>269.45999999999998</v>
      </c>
      <c r="H208">
        <v>80.837999999999994</v>
      </c>
      <c r="I208" s="1" t="s">
        <v>11</v>
      </c>
      <c r="J208">
        <v>1</v>
      </c>
      <c r="K208" s="1" t="s">
        <v>1497</v>
      </c>
      <c r="L208">
        <v>2025</v>
      </c>
    </row>
    <row r="209" spans="1:12" x14ac:dyDescent="0.3">
      <c r="A209" s="1" t="s">
        <v>437</v>
      </c>
      <c r="B209" s="4">
        <v>45494</v>
      </c>
      <c r="C209" s="1" t="s">
        <v>438</v>
      </c>
      <c r="D209" s="1" t="s">
        <v>54</v>
      </c>
      <c r="E209">
        <v>4</v>
      </c>
      <c r="F209">
        <v>28.55</v>
      </c>
      <c r="G209">
        <v>114.2</v>
      </c>
      <c r="H209">
        <v>34.26</v>
      </c>
      <c r="I209" s="1" t="s">
        <v>11</v>
      </c>
      <c r="J209">
        <v>21</v>
      </c>
      <c r="K209" s="1" t="s">
        <v>1498</v>
      </c>
      <c r="L209">
        <v>2024</v>
      </c>
    </row>
    <row r="210" spans="1:12" x14ac:dyDescent="0.3">
      <c r="A210" s="1" t="s">
        <v>439</v>
      </c>
      <c r="B210" s="4">
        <v>45642</v>
      </c>
      <c r="C210" s="1" t="s">
        <v>440</v>
      </c>
      <c r="D210" s="1" t="s">
        <v>165</v>
      </c>
      <c r="E210">
        <v>9</v>
      </c>
      <c r="F210">
        <v>29.47</v>
      </c>
      <c r="G210">
        <v>265.23</v>
      </c>
      <c r="H210">
        <v>79.569000000000003</v>
      </c>
      <c r="I210" s="1" t="s">
        <v>11</v>
      </c>
      <c r="J210">
        <v>16</v>
      </c>
      <c r="K210" s="1" t="s">
        <v>1495</v>
      </c>
      <c r="L210">
        <v>2024</v>
      </c>
    </row>
    <row r="211" spans="1:12" x14ac:dyDescent="0.3">
      <c r="A211" s="1" t="s">
        <v>441</v>
      </c>
      <c r="B211" s="4">
        <v>46007</v>
      </c>
      <c r="C211" s="1" t="s">
        <v>442</v>
      </c>
      <c r="D211" s="1" t="s">
        <v>165</v>
      </c>
      <c r="E211">
        <v>5</v>
      </c>
      <c r="F211">
        <v>29.47</v>
      </c>
      <c r="G211">
        <v>147.35</v>
      </c>
      <c r="H211">
        <v>44.204999999999998</v>
      </c>
      <c r="I211" s="1" t="s">
        <v>15</v>
      </c>
      <c r="J211">
        <v>16</v>
      </c>
      <c r="K211" s="1" t="s">
        <v>1495</v>
      </c>
      <c r="L211">
        <v>2025</v>
      </c>
    </row>
    <row r="212" spans="1:12" x14ac:dyDescent="0.3">
      <c r="A212" s="1" t="s">
        <v>443</v>
      </c>
      <c r="B212" s="4">
        <v>45613</v>
      </c>
      <c r="C212" s="1" t="s">
        <v>394</v>
      </c>
      <c r="D212" s="1" t="s">
        <v>67</v>
      </c>
      <c r="E212">
        <v>1</v>
      </c>
      <c r="F212">
        <v>29.94</v>
      </c>
      <c r="G212">
        <v>29.94</v>
      </c>
      <c r="H212">
        <v>8.9819999999999993</v>
      </c>
      <c r="I212" s="1" t="s">
        <v>11</v>
      </c>
      <c r="J212">
        <v>17</v>
      </c>
      <c r="K212" s="1" t="s">
        <v>1500</v>
      </c>
      <c r="L212">
        <v>2024</v>
      </c>
    </row>
    <row r="213" spans="1:12" x14ac:dyDescent="0.3">
      <c r="A213" s="1" t="s">
        <v>444</v>
      </c>
      <c r="B213" s="4">
        <v>45386</v>
      </c>
      <c r="C213" s="1" t="s">
        <v>445</v>
      </c>
      <c r="D213" s="1" t="s">
        <v>10</v>
      </c>
      <c r="E213">
        <v>10</v>
      </c>
      <c r="F213">
        <v>112.61</v>
      </c>
      <c r="G213">
        <v>1126.0999999999999</v>
      </c>
      <c r="H213">
        <v>337.83</v>
      </c>
      <c r="I213" s="1" t="s">
        <v>36</v>
      </c>
      <c r="J213">
        <v>4</v>
      </c>
      <c r="K213" s="1" t="s">
        <v>1496</v>
      </c>
      <c r="L213">
        <v>2024</v>
      </c>
    </row>
    <row r="214" spans="1:12" x14ac:dyDescent="0.3">
      <c r="A214" s="1" t="s">
        <v>446</v>
      </c>
      <c r="B214" s="4">
        <v>45529</v>
      </c>
      <c r="C214" s="1" t="s">
        <v>447</v>
      </c>
      <c r="D214" s="1" t="s">
        <v>244</v>
      </c>
      <c r="E214">
        <v>5</v>
      </c>
      <c r="F214">
        <v>193.35</v>
      </c>
      <c r="G214">
        <v>966.75</v>
      </c>
      <c r="H214">
        <v>290.02499999999998</v>
      </c>
      <c r="I214" s="1" t="s">
        <v>15</v>
      </c>
      <c r="J214">
        <v>25</v>
      </c>
      <c r="K214" s="1" t="s">
        <v>1499</v>
      </c>
      <c r="L214">
        <v>2024</v>
      </c>
    </row>
    <row r="215" spans="1:12" x14ac:dyDescent="0.3">
      <c r="A215" s="1" t="s">
        <v>448</v>
      </c>
      <c r="B215" s="4">
        <v>45501</v>
      </c>
      <c r="C215" s="1" t="s">
        <v>371</v>
      </c>
      <c r="D215" s="1" t="s">
        <v>51</v>
      </c>
      <c r="E215">
        <v>3</v>
      </c>
      <c r="F215">
        <v>64.62</v>
      </c>
      <c r="G215">
        <v>193.86</v>
      </c>
      <c r="H215">
        <v>58.158000000000001</v>
      </c>
      <c r="I215" s="1" t="s">
        <v>15</v>
      </c>
      <c r="J215">
        <v>28</v>
      </c>
      <c r="K215" s="1" t="s">
        <v>1498</v>
      </c>
      <c r="L215">
        <v>2024</v>
      </c>
    </row>
    <row r="216" spans="1:12" x14ac:dyDescent="0.3">
      <c r="A216" s="1" t="s">
        <v>449</v>
      </c>
      <c r="B216" s="4">
        <v>45510</v>
      </c>
      <c r="C216" s="1" t="s">
        <v>450</v>
      </c>
      <c r="D216" s="1" t="s">
        <v>201</v>
      </c>
      <c r="E216">
        <v>7</v>
      </c>
      <c r="F216">
        <v>53.74</v>
      </c>
      <c r="G216">
        <v>376.18</v>
      </c>
      <c r="H216">
        <v>112.854</v>
      </c>
      <c r="I216" s="1" t="s">
        <v>19</v>
      </c>
      <c r="J216">
        <v>6</v>
      </c>
      <c r="K216" s="1" t="s">
        <v>1499</v>
      </c>
      <c r="L216">
        <v>2024</v>
      </c>
    </row>
    <row r="217" spans="1:12" x14ac:dyDescent="0.3">
      <c r="A217" s="1" t="s">
        <v>451</v>
      </c>
      <c r="B217" s="4">
        <v>45349</v>
      </c>
      <c r="C217" s="1" t="s">
        <v>452</v>
      </c>
      <c r="D217" s="1" t="s">
        <v>10</v>
      </c>
      <c r="E217">
        <v>6</v>
      </c>
      <c r="F217">
        <v>112.61</v>
      </c>
      <c r="G217">
        <v>675.66</v>
      </c>
      <c r="H217">
        <v>202.69799999999998</v>
      </c>
      <c r="I217" s="1" t="s">
        <v>15</v>
      </c>
      <c r="J217">
        <v>27</v>
      </c>
      <c r="K217" s="1" t="s">
        <v>1494</v>
      </c>
      <c r="L217">
        <v>2024</v>
      </c>
    </row>
    <row r="218" spans="1:12" x14ac:dyDescent="0.3">
      <c r="A218" s="1" t="s">
        <v>453</v>
      </c>
      <c r="B218" s="4">
        <v>45355</v>
      </c>
      <c r="C218" s="1" t="s">
        <v>454</v>
      </c>
      <c r="D218" s="1" t="s">
        <v>228</v>
      </c>
      <c r="E218">
        <v>10</v>
      </c>
      <c r="F218">
        <v>104.84</v>
      </c>
      <c r="G218">
        <v>1048.4000000000001</v>
      </c>
      <c r="H218">
        <v>314.52000000000004</v>
      </c>
      <c r="I218" s="1" t="s">
        <v>19</v>
      </c>
      <c r="J218">
        <v>4</v>
      </c>
      <c r="K218" s="1" t="s">
        <v>1491</v>
      </c>
      <c r="L218">
        <v>2024</v>
      </c>
    </row>
    <row r="219" spans="1:12" x14ac:dyDescent="0.3">
      <c r="A219" s="1" t="s">
        <v>455</v>
      </c>
      <c r="B219" s="4">
        <v>45720</v>
      </c>
      <c r="C219" s="1" t="s">
        <v>250</v>
      </c>
      <c r="D219" s="1" t="s">
        <v>277</v>
      </c>
      <c r="E219">
        <v>6</v>
      </c>
      <c r="F219">
        <v>56.18</v>
      </c>
      <c r="G219">
        <v>337.08</v>
      </c>
      <c r="H219">
        <v>101.124</v>
      </c>
      <c r="I219" s="1" t="s">
        <v>19</v>
      </c>
      <c r="J219">
        <v>4</v>
      </c>
      <c r="K219" s="1" t="s">
        <v>1491</v>
      </c>
      <c r="L219">
        <v>2025</v>
      </c>
    </row>
    <row r="220" spans="1:12" x14ac:dyDescent="0.3">
      <c r="A220" s="1" t="s">
        <v>456</v>
      </c>
      <c r="B220" s="4">
        <v>45846</v>
      </c>
      <c r="C220" s="1" t="s">
        <v>457</v>
      </c>
      <c r="D220" s="1" t="s">
        <v>148</v>
      </c>
      <c r="E220">
        <v>9</v>
      </c>
      <c r="F220">
        <v>118.95</v>
      </c>
      <c r="G220">
        <v>1070.55</v>
      </c>
      <c r="H220">
        <v>321.16499999999996</v>
      </c>
      <c r="I220" s="1" t="s">
        <v>36</v>
      </c>
      <c r="J220">
        <v>8</v>
      </c>
      <c r="K220" s="1" t="s">
        <v>1498</v>
      </c>
      <c r="L220">
        <v>2025</v>
      </c>
    </row>
    <row r="221" spans="1:12" x14ac:dyDescent="0.3">
      <c r="A221" s="1" t="s">
        <v>458</v>
      </c>
      <c r="B221" s="4">
        <v>45679</v>
      </c>
      <c r="C221" s="1" t="s">
        <v>459</v>
      </c>
      <c r="D221" s="1" t="s">
        <v>54</v>
      </c>
      <c r="E221">
        <v>7</v>
      </c>
      <c r="F221">
        <v>28.55</v>
      </c>
      <c r="G221">
        <v>199.85</v>
      </c>
      <c r="H221">
        <v>59.954999999999998</v>
      </c>
      <c r="I221" s="1" t="s">
        <v>15</v>
      </c>
      <c r="J221">
        <v>22</v>
      </c>
      <c r="K221" s="1" t="s">
        <v>1493</v>
      </c>
      <c r="L221">
        <v>2025</v>
      </c>
    </row>
    <row r="222" spans="1:12" x14ac:dyDescent="0.3">
      <c r="A222" s="1" t="s">
        <v>460</v>
      </c>
      <c r="B222" s="4">
        <v>45999</v>
      </c>
      <c r="C222" s="1" t="s">
        <v>334</v>
      </c>
      <c r="D222" s="1" t="s">
        <v>60</v>
      </c>
      <c r="E222">
        <v>7</v>
      </c>
      <c r="F222">
        <v>107.88</v>
      </c>
      <c r="G222">
        <v>755.16</v>
      </c>
      <c r="H222">
        <v>226.54799999999997</v>
      </c>
      <c r="I222" s="1" t="s">
        <v>36</v>
      </c>
      <c r="J222">
        <v>8</v>
      </c>
      <c r="K222" s="1" t="s">
        <v>1495</v>
      </c>
      <c r="L222">
        <v>2025</v>
      </c>
    </row>
    <row r="223" spans="1:12" x14ac:dyDescent="0.3">
      <c r="A223" s="1" t="s">
        <v>461</v>
      </c>
      <c r="B223" s="4">
        <v>45966</v>
      </c>
      <c r="C223" s="1" t="s">
        <v>462</v>
      </c>
      <c r="D223" s="1" t="s">
        <v>24</v>
      </c>
      <c r="E223">
        <v>1</v>
      </c>
      <c r="F223">
        <v>134.32</v>
      </c>
      <c r="G223">
        <v>134.32</v>
      </c>
      <c r="H223">
        <v>40.295999999999999</v>
      </c>
      <c r="I223" s="1" t="s">
        <v>11</v>
      </c>
      <c r="J223">
        <v>5</v>
      </c>
      <c r="K223" s="1" t="s">
        <v>1500</v>
      </c>
      <c r="L223">
        <v>2025</v>
      </c>
    </row>
    <row r="224" spans="1:12" x14ac:dyDescent="0.3">
      <c r="A224" s="1" t="s">
        <v>463</v>
      </c>
      <c r="B224" s="4">
        <v>45760</v>
      </c>
      <c r="C224" s="1" t="s">
        <v>464</v>
      </c>
      <c r="D224" s="1" t="s">
        <v>99</v>
      </c>
      <c r="E224">
        <v>3</v>
      </c>
      <c r="F224">
        <v>162.96</v>
      </c>
      <c r="G224">
        <v>488.88</v>
      </c>
      <c r="H224">
        <v>146.66399999999999</v>
      </c>
      <c r="I224" s="1" t="s">
        <v>36</v>
      </c>
      <c r="J224">
        <v>13</v>
      </c>
      <c r="K224" s="1" t="s">
        <v>1496</v>
      </c>
      <c r="L224">
        <v>2025</v>
      </c>
    </row>
    <row r="225" spans="1:12" x14ac:dyDescent="0.3">
      <c r="A225" s="1" t="s">
        <v>465</v>
      </c>
      <c r="B225" s="4">
        <v>45910</v>
      </c>
      <c r="C225" s="1" t="s">
        <v>466</v>
      </c>
      <c r="D225" s="1" t="s">
        <v>151</v>
      </c>
      <c r="E225">
        <v>4</v>
      </c>
      <c r="F225">
        <v>89.88</v>
      </c>
      <c r="G225">
        <v>359.52</v>
      </c>
      <c r="H225">
        <v>107.85599999999999</v>
      </c>
      <c r="I225" s="1" t="s">
        <v>19</v>
      </c>
      <c r="J225">
        <v>10</v>
      </c>
      <c r="K225" s="1" t="s">
        <v>1501</v>
      </c>
      <c r="L225">
        <v>2025</v>
      </c>
    </row>
    <row r="226" spans="1:12" x14ac:dyDescent="0.3">
      <c r="A226" s="1" t="s">
        <v>467</v>
      </c>
      <c r="B226" s="4">
        <v>45983</v>
      </c>
      <c r="C226" s="1" t="s">
        <v>468</v>
      </c>
      <c r="D226" s="1" t="s">
        <v>114</v>
      </c>
      <c r="E226">
        <v>4</v>
      </c>
      <c r="F226">
        <v>195.89</v>
      </c>
      <c r="G226">
        <v>783.56</v>
      </c>
      <c r="H226">
        <v>235.06799999999998</v>
      </c>
      <c r="I226" s="1" t="s">
        <v>36</v>
      </c>
      <c r="J226">
        <v>22</v>
      </c>
      <c r="K226" s="1" t="s">
        <v>1500</v>
      </c>
      <c r="L226">
        <v>2025</v>
      </c>
    </row>
    <row r="227" spans="1:12" x14ac:dyDescent="0.3">
      <c r="A227" s="1" t="s">
        <v>469</v>
      </c>
      <c r="B227" s="4">
        <v>45735</v>
      </c>
      <c r="C227" s="1" t="s">
        <v>470</v>
      </c>
      <c r="D227" s="1" t="s">
        <v>51</v>
      </c>
      <c r="E227">
        <v>9</v>
      </c>
      <c r="F227">
        <v>64.62</v>
      </c>
      <c r="G227">
        <v>581.58000000000004</v>
      </c>
      <c r="H227">
        <v>174.47400000000002</v>
      </c>
      <c r="I227" s="1" t="s">
        <v>36</v>
      </c>
      <c r="J227">
        <v>19</v>
      </c>
      <c r="K227" s="1" t="s">
        <v>1491</v>
      </c>
      <c r="L227">
        <v>2025</v>
      </c>
    </row>
    <row r="228" spans="1:12" x14ac:dyDescent="0.3">
      <c r="A228" s="1" t="s">
        <v>471</v>
      </c>
      <c r="B228" s="4">
        <v>45453</v>
      </c>
      <c r="C228" s="1" t="s">
        <v>254</v>
      </c>
      <c r="D228" s="1" t="s">
        <v>88</v>
      </c>
      <c r="E228">
        <v>10</v>
      </c>
      <c r="F228">
        <v>162.21</v>
      </c>
      <c r="G228">
        <v>1622.1</v>
      </c>
      <c r="H228">
        <v>486.62999999999994</v>
      </c>
      <c r="I228" s="1" t="s">
        <v>36</v>
      </c>
      <c r="J228">
        <v>10</v>
      </c>
      <c r="K228" s="1" t="s">
        <v>1497</v>
      </c>
      <c r="L228">
        <v>2024</v>
      </c>
    </row>
    <row r="229" spans="1:12" x14ac:dyDescent="0.3">
      <c r="A229" s="1" t="s">
        <v>472</v>
      </c>
      <c r="B229" s="4">
        <v>45898</v>
      </c>
      <c r="C229" s="1" t="s">
        <v>473</v>
      </c>
      <c r="D229" s="1" t="s">
        <v>75</v>
      </c>
      <c r="E229">
        <v>6</v>
      </c>
      <c r="F229">
        <v>49.95</v>
      </c>
      <c r="G229">
        <v>299.7</v>
      </c>
      <c r="H229">
        <v>89.91</v>
      </c>
      <c r="I229" s="1" t="s">
        <v>15</v>
      </c>
      <c r="J229">
        <v>29</v>
      </c>
      <c r="K229" s="1" t="s">
        <v>1499</v>
      </c>
      <c r="L229">
        <v>2025</v>
      </c>
    </row>
    <row r="230" spans="1:12" x14ac:dyDescent="0.3">
      <c r="A230" s="1" t="s">
        <v>474</v>
      </c>
      <c r="B230" s="4">
        <v>45880</v>
      </c>
      <c r="C230" s="1" t="s">
        <v>447</v>
      </c>
      <c r="D230" s="1" t="s">
        <v>80</v>
      </c>
      <c r="E230">
        <v>6</v>
      </c>
      <c r="F230">
        <v>48.76</v>
      </c>
      <c r="G230">
        <v>292.56</v>
      </c>
      <c r="H230">
        <v>87.768000000000001</v>
      </c>
      <c r="I230" s="1" t="s">
        <v>11</v>
      </c>
      <c r="J230">
        <v>11</v>
      </c>
      <c r="K230" s="1" t="s">
        <v>1499</v>
      </c>
      <c r="L230">
        <v>2025</v>
      </c>
    </row>
    <row r="231" spans="1:12" x14ac:dyDescent="0.3">
      <c r="A231" s="1" t="s">
        <v>475</v>
      </c>
      <c r="B231" s="4">
        <v>45390</v>
      </c>
      <c r="C231" s="1" t="s">
        <v>87</v>
      </c>
      <c r="D231" s="1" t="s">
        <v>24</v>
      </c>
      <c r="E231">
        <v>9</v>
      </c>
      <c r="F231">
        <v>134.32</v>
      </c>
      <c r="G231">
        <v>1208.8800000000001</v>
      </c>
      <c r="H231">
        <v>362.66400000000004</v>
      </c>
      <c r="I231" s="1" t="s">
        <v>15</v>
      </c>
      <c r="J231">
        <v>8</v>
      </c>
      <c r="K231" s="1" t="s">
        <v>1496</v>
      </c>
      <c r="L231">
        <v>2024</v>
      </c>
    </row>
    <row r="232" spans="1:12" x14ac:dyDescent="0.3">
      <c r="A232" s="1" t="s">
        <v>476</v>
      </c>
      <c r="B232" s="4">
        <v>45803</v>
      </c>
      <c r="C232" s="1" t="s">
        <v>477</v>
      </c>
      <c r="D232" s="1" t="s">
        <v>80</v>
      </c>
      <c r="E232">
        <v>2</v>
      </c>
      <c r="F232">
        <v>48.76</v>
      </c>
      <c r="G232">
        <v>97.52</v>
      </c>
      <c r="H232">
        <v>29.255999999999997</v>
      </c>
      <c r="I232" s="1" t="s">
        <v>36</v>
      </c>
      <c r="J232">
        <v>26</v>
      </c>
      <c r="K232" s="1" t="s">
        <v>1492</v>
      </c>
      <c r="L232">
        <v>2025</v>
      </c>
    </row>
    <row r="233" spans="1:12" x14ac:dyDescent="0.3">
      <c r="A233" s="1" t="s">
        <v>478</v>
      </c>
      <c r="B233" s="4">
        <v>45441</v>
      </c>
      <c r="C233" s="1" t="s">
        <v>479</v>
      </c>
      <c r="D233" s="1" t="s">
        <v>30</v>
      </c>
      <c r="E233">
        <v>9</v>
      </c>
      <c r="F233">
        <v>74.61</v>
      </c>
      <c r="G233">
        <v>671.49</v>
      </c>
      <c r="H233">
        <v>201.447</v>
      </c>
      <c r="I233" s="1" t="s">
        <v>11</v>
      </c>
      <c r="J233">
        <v>29</v>
      </c>
      <c r="K233" s="1" t="s">
        <v>1492</v>
      </c>
      <c r="L233">
        <v>2024</v>
      </c>
    </row>
    <row r="234" spans="1:12" x14ac:dyDescent="0.3">
      <c r="A234" s="1" t="s">
        <v>480</v>
      </c>
      <c r="B234" s="4">
        <v>45425</v>
      </c>
      <c r="C234" s="1" t="s">
        <v>481</v>
      </c>
      <c r="D234" s="1" t="s">
        <v>228</v>
      </c>
      <c r="E234">
        <v>1</v>
      </c>
      <c r="F234">
        <v>104.84</v>
      </c>
      <c r="G234">
        <v>104.84</v>
      </c>
      <c r="H234">
        <v>31.451999999999998</v>
      </c>
      <c r="I234" s="1" t="s">
        <v>19</v>
      </c>
      <c r="J234">
        <v>13</v>
      </c>
      <c r="K234" s="1" t="s">
        <v>1492</v>
      </c>
      <c r="L234">
        <v>2024</v>
      </c>
    </row>
    <row r="235" spans="1:12" x14ac:dyDescent="0.3">
      <c r="A235" s="1" t="s">
        <v>482</v>
      </c>
      <c r="B235" s="4">
        <v>45630</v>
      </c>
      <c r="C235" s="1" t="s">
        <v>382</v>
      </c>
      <c r="D235" s="1" t="s">
        <v>221</v>
      </c>
      <c r="E235">
        <v>2</v>
      </c>
      <c r="F235">
        <v>108.19</v>
      </c>
      <c r="G235">
        <v>216.38</v>
      </c>
      <c r="H235">
        <v>64.914000000000001</v>
      </c>
      <c r="I235" s="1" t="s">
        <v>19</v>
      </c>
      <c r="J235">
        <v>4</v>
      </c>
      <c r="K235" s="1" t="s">
        <v>1495</v>
      </c>
      <c r="L235">
        <v>2024</v>
      </c>
    </row>
    <row r="236" spans="1:12" x14ac:dyDescent="0.3">
      <c r="A236" s="1" t="s">
        <v>483</v>
      </c>
      <c r="B236" s="4">
        <v>45543</v>
      </c>
      <c r="C236" s="1" t="s">
        <v>305</v>
      </c>
      <c r="D236" s="1" t="s">
        <v>339</v>
      </c>
      <c r="E236">
        <v>4</v>
      </c>
      <c r="F236">
        <v>73.89</v>
      </c>
      <c r="G236">
        <v>295.56</v>
      </c>
      <c r="H236">
        <v>88.667999999999992</v>
      </c>
      <c r="I236" s="1" t="s">
        <v>19</v>
      </c>
      <c r="J236">
        <v>8</v>
      </c>
      <c r="K236" s="1" t="s">
        <v>1501</v>
      </c>
      <c r="L236">
        <v>2024</v>
      </c>
    </row>
    <row r="237" spans="1:12" x14ac:dyDescent="0.3">
      <c r="A237" s="1" t="s">
        <v>484</v>
      </c>
      <c r="B237" s="4">
        <v>45950</v>
      </c>
      <c r="C237" s="1" t="s">
        <v>186</v>
      </c>
      <c r="D237" s="1" t="s">
        <v>339</v>
      </c>
      <c r="E237">
        <v>6</v>
      </c>
      <c r="F237">
        <v>73.89</v>
      </c>
      <c r="G237">
        <v>443.34</v>
      </c>
      <c r="H237">
        <v>133.00199999999998</v>
      </c>
      <c r="I237" s="1" t="s">
        <v>19</v>
      </c>
      <c r="J237">
        <v>20</v>
      </c>
      <c r="K237" s="1" t="s">
        <v>1490</v>
      </c>
      <c r="L237">
        <v>2025</v>
      </c>
    </row>
    <row r="238" spans="1:12" x14ac:dyDescent="0.3">
      <c r="A238" s="1" t="s">
        <v>485</v>
      </c>
      <c r="B238" s="4">
        <v>45411</v>
      </c>
      <c r="C238" s="1" t="s">
        <v>486</v>
      </c>
      <c r="D238" s="1" t="s">
        <v>176</v>
      </c>
      <c r="E238">
        <v>6</v>
      </c>
      <c r="F238">
        <v>68.41</v>
      </c>
      <c r="G238">
        <v>410.46</v>
      </c>
      <c r="H238">
        <v>123.13799999999999</v>
      </c>
      <c r="I238" s="1" t="s">
        <v>19</v>
      </c>
      <c r="J238">
        <v>29</v>
      </c>
      <c r="K238" s="1" t="s">
        <v>1496</v>
      </c>
      <c r="L238">
        <v>2024</v>
      </c>
    </row>
    <row r="239" spans="1:12" x14ac:dyDescent="0.3">
      <c r="A239" s="1" t="s">
        <v>487</v>
      </c>
      <c r="B239" s="4">
        <v>45673</v>
      </c>
      <c r="C239" s="1" t="s">
        <v>488</v>
      </c>
      <c r="D239" s="1" t="s">
        <v>244</v>
      </c>
      <c r="E239">
        <v>1</v>
      </c>
      <c r="F239">
        <v>193.35</v>
      </c>
      <c r="G239">
        <v>193.35</v>
      </c>
      <c r="H239">
        <v>58.004999999999995</v>
      </c>
      <c r="I239" s="1" t="s">
        <v>36</v>
      </c>
      <c r="J239">
        <v>16</v>
      </c>
      <c r="K239" s="1" t="s">
        <v>1493</v>
      </c>
      <c r="L239">
        <v>2025</v>
      </c>
    </row>
    <row r="240" spans="1:12" x14ac:dyDescent="0.3">
      <c r="A240" s="1" t="s">
        <v>489</v>
      </c>
      <c r="B240" s="4">
        <v>45658</v>
      </c>
      <c r="C240" s="1" t="s">
        <v>490</v>
      </c>
      <c r="D240" s="1" t="s">
        <v>148</v>
      </c>
      <c r="E240">
        <v>5</v>
      </c>
      <c r="F240">
        <v>118.95</v>
      </c>
      <c r="G240">
        <v>594.75</v>
      </c>
      <c r="H240">
        <v>178.42499999999998</v>
      </c>
      <c r="I240" s="1" t="s">
        <v>15</v>
      </c>
      <c r="J240">
        <v>1</v>
      </c>
      <c r="K240" s="1" t="s">
        <v>1493</v>
      </c>
      <c r="L240">
        <v>2025</v>
      </c>
    </row>
    <row r="241" spans="1:12" x14ac:dyDescent="0.3">
      <c r="A241" s="1" t="s">
        <v>491</v>
      </c>
      <c r="B241" s="4">
        <v>45465</v>
      </c>
      <c r="C241" s="1" t="s">
        <v>17</v>
      </c>
      <c r="D241" s="1" t="s">
        <v>256</v>
      </c>
      <c r="E241">
        <v>3</v>
      </c>
      <c r="F241">
        <v>58.12</v>
      </c>
      <c r="G241">
        <v>174.36</v>
      </c>
      <c r="H241">
        <v>52.308</v>
      </c>
      <c r="I241" s="1" t="s">
        <v>19</v>
      </c>
      <c r="J241">
        <v>22</v>
      </c>
      <c r="K241" s="1" t="s">
        <v>1497</v>
      </c>
      <c r="L241">
        <v>2024</v>
      </c>
    </row>
    <row r="242" spans="1:12" x14ac:dyDescent="0.3">
      <c r="A242" s="1" t="s">
        <v>492</v>
      </c>
      <c r="B242" s="4">
        <v>45442</v>
      </c>
      <c r="C242" s="1" t="s">
        <v>470</v>
      </c>
      <c r="D242" s="1" t="s">
        <v>72</v>
      </c>
      <c r="E242">
        <v>4</v>
      </c>
      <c r="F242">
        <v>134.61000000000001</v>
      </c>
      <c r="G242">
        <v>538.44000000000005</v>
      </c>
      <c r="H242">
        <v>161.53200000000001</v>
      </c>
      <c r="I242" s="1" t="s">
        <v>19</v>
      </c>
      <c r="J242">
        <v>30</v>
      </c>
      <c r="K242" s="1" t="s">
        <v>1492</v>
      </c>
      <c r="L242">
        <v>2024</v>
      </c>
    </row>
    <row r="243" spans="1:12" x14ac:dyDescent="0.3">
      <c r="A243" s="1" t="s">
        <v>493</v>
      </c>
      <c r="B243" s="4">
        <v>45444</v>
      </c>
      <c r="C243" s="1" t="s">
        <v>494</v>
      </c>
      <c r="D243" s="1" t="s">
        <v>228</v>
      </c>
      <c r="E243">
        <v>8</v>
      </c>
      <c r="F243">
        <v>104.84</v>
      </c>
      <c r="G243">
        <v>838.72</v>
      </c>
      <c r="H243">
        <v>251.61599999999999</v>
      </c>
      <c r="I243" s="1" t="s">
        <v>19</v>
      </c>
      <c r="J243">
        <v>1</v>
      </c>
      <c r="K243" s="1" t="s">
        <v>1497</v>
      </c>
      <c r="L243">
        <v>2024</v>
      </c>
    </row>
    <row r="244" spans="1:12" x14ac:dyDescent="0.3">
      <c r="A244" s="1" t="s">
        <v>495</v>
      </c>
      <c r="B244" s="4">
        <v>45859</v>
      </c>
      <c r="C244" s="1" t="s">
        <v>496</v>
      </c>
      <c r="D244" s="1" t="s">
        <v>165</v>
      </c>
      <c r="E244">
        <v>8</v>
      </c>
      <c r="F244">
        <v>29.47</v>
      </c>
      <c r="G244">
        <v>235.76</v>
      </c>
      <c r="H244">
        <v>70.727999999999994</v>
      </c>
      <c r="I244" s="1" t="s">
        <v>15</v>
      </c>
      <c r="J244">
        <v>21</v>
      </c>
      <c r="K244" s="1" t="s">
        <v>1498</v>
      </c>
      <c r="L244">
        <v>2025</v>
      </c>
    </row>
    <row r="245" spans="1:12" x14ac:dyDescent="0.3">
      <c r="A245" s="1" t="s">
        <v>497</v>
      </c>
      <c r="B245" s="4">
        <v>45849</v>
      </c>
      <c r="C245" s="1" t="s">
        <v>498</v>
      </c>
      <c r="D245" s="1" t="s">
        <v>18</v>
      </c>
      <c r="E245">
        <v>9</v>
      </c>
      <c r="F245">
        <v>185.22</v>
      </c>
      <c r="G245">
        <v>1666.98</v>
      </c>
      <c r="H245">
        <v>500.09399999999999</v>
      </c>
      <c r="I245" s="1" t="s">
        <v>19</v>
      </c>
      <c r="J245">
        <v>11</v>
      </c>
      <c r="K245" s="1" t="s">
        <v>1498</v>
      </c>
      <c r="L245">
        <v>2025</v>
      </c>
    </row>
    <row r="246" spans="1:12" x14ac:dyDescent="0.3">
      <c r="A246" s="1" t="s">
        <v>499</v>
      </c>
      <c r="B246" s="4">
        <v>45661</v>
      </c>
      <c r="C246" s="1" t="s">
        <v>450</v>
      </c>
      <c r="D246" s="1" t="s">
        <v>99</v>
      </c>
      <c r="E246">
        <v>9</v>
      </c>
      <c r="F246">
        <v>162.96</v>
      </c>
      <c r="G246">
        <v>1466.64</v>
      </c>
      <c r="H246">
        <v>439.99200000000002</v>
      </c>
      <c r="I246" s="1" t="s">
        <v>36</v>
      </c>
      <c r="J246">
        <v>4</v>
      </c>
      <c r="K246" s="1" t="s">
        <v>1493</v>
      </c>
      <c r="L246">
        <v>2025</v>
      </c>
    </row>
    <row r="247" spans="1:12" x14ac:dyDescent="0.3">
      <c r="A247" s="1" t="s">
        <v>500</v>
      </c>
      <c r="B247" s="4">
        <v>45818</v>
      </c>
      <c r="C247" s="1" t="s">
        <v>501</v>
      </c>
      <c r="D247" s="1" t="s">
        <v>60</v>
      </c>
      <c r="E247">
        <v>9</v>
      </c>
      <c r="F247">
        <v>107.88</v>
      </c>
      <c r="G247">
        <v>970.92</v>
      </c>
      <c r="H247">
        <v>291.27599999999995</v>
      </c>
      <c r="I247" s="1" t="s">
        <v>19</v>
      </c>
      <c r="J247">
        <v>10</v>
      </c>
      <c r="K247" s="1" t="s">
        <v>1497</v>
      </c>
      <c r="L247">
        <v>2025</v>
      </c>
    </row>
    <row r="248" spans="1:12" x14ac:dyDescent="0.3">
      <c r="A248" s="1" t="s">
        <v>502</v>
      </c>
      <c r="B248" s="4">
        <v>45658</v>
      </c>
      <c r="C248" s="1" t="s">
        <v>292</v>
      </c>
      <c r="D248" s="1" t="s">
        <v>102</v>
      </c>
      <c r="E248">
        <v>2</v>
      </c>
      <c r="F248">
        <v>41.45</v>
      </c>
      <c r="G248">
        <v>82.9</v>
      </c>
      <c r="H248">
        <v>24.87</v>
      </c>
      <c r="I248" s="1" t="s">
        <v>19</v>
      </c>
      <c r="J248">
        <v>1</v>
      </c>
      <c r="K248" s="1" t="s">
        <v>1493</v>
      </c>
      <c r="L248">
        <v>2025</v>
      </c>
    </row>
    <row r="249" spans="1:12" x14ac:dyDescent="0.3">
      <c r="A249" s="1" t="s">
        <v>503</v>
      </c>
      <c r="B249" s="4">
        <v>45984</v>
      </c>
      <c r="C249" s="1" t="s">
        <v>504</v>
      </c>
      <c r="D249" s="1" t="s">
        <v>332</v>
      </c>
      <c r="E249">
        <v>9</v>
      </c>
      <c r="F249">
        <v>115.1</v>
      </c>
      <c r="G249">
        <v>1035.9000000000001</v>
      </c>
      <c r="H249">
        <v>310.77000000000004</v>
      </c>
      <c r="I249" s="1" t="s">
        <v>19</v>
      </c>
      <c r="J249">
        <v>23</v>
      </c>
      <c r="K249" s="1" t="s">
        <v>1500</v>
      </c>
      <c r="L249">
        <v>2025</v>
      </c>
    </row>
    <row r="250" spans="1:12" x14ac:dyDescent="0.3">
      <c r="A250" s="1" t="s">
        <v>505</v>
      </c>
      <c r="B250" s="4">
        <v>45700</v>
      </c>
      <c r="C250" s="1" t="s">
        <v>506</v>
      </c>
      <c r="D250" s="1" t="s">
        <v>60</v>
      </c>
      <c r="E250">
        <v>9</v>
      </c>
      <c r="F250">
        <v>107.88</v>
      </c>
      <c r="G250">
        <v>970.92</v>
      </c>
      <c r="H250">
        <v>291.27599999999995</v>
      </c>
      <c r="I250" s="1" t="s">
        <v>36</v>
      </c>
      <c r="J250">
        <v>12</v>
      </c>
      <c r="K250" s="1" t="s">
        <v>1494</v>
      </c>
      <c r="L250">
        <v>2025</v>
      </c>
    </row>
    <row r="251" spans="1:12" x14ac:dyDescent="0.3">
      <c r="A251" s="1" t="s">
        <v>507</v>
      </c>
      <c r="B251" s="4">
        <v>45611</v>
      </c>
      <c r="C251" s="1" t="s">
        <v>508</v>
      </c>
      <c r="D251" s="1" t="s">
        <v>39</v>
      </c>
      <c r="E251">
        <v>1</v>
      </c>
      <c r="F251">
        <v>18.850000000000001</v>
      </c>
      <c r="G251">
        <v>18.850000000000001</v>
      </c>
      <c r="H251">
        <v>5.6550000000000002</v>
      </c>
      <c r="I251" s="1" t="s">
        <v>19</v>
      </c>
      <c r="J251">
        <v>15</v>
      </c>
      <c r="K251" s="1" t="s">
        <v>1500</v>
      </c>
      <c r="L251">
        <v>2024</v>
      </c>
    </row>
    <row r="252" spans="1:12" x14ac:dyDescent="0.3">
      <c r="A252" s="1" t="s">
        <v>509</v>
      </c>
      <c r="B252" s="4">
        <v>45773</v>
      </c>
      <c r="C252" s="1" t="s">
        <v>510</v>
      </c>
      <c r="D252" s="1" t="s">
        <v>368</v>
      </c>
      <c r="E252">
        <v>8</v>
      </c>
      <c r="F252">
        <v>34.369999999999997</v>
      </c>
      <c r="G252">
        <v>274.95999999999998</v>
      </c>
      <c r="H252">
        <v>82.487999999999985</v>
      </c>
      <c r="I252" s="1" t="s">
        <v>19</v>
      </c>
      <c r="J252">
        <v>26</v>
      </c>
      <c r="K252" s="1" t="s">
        <v>1496</v>
      </c>
      <c r="L252">
        <v>2025</v>
      </c>
    </row>
    <row r="253" spans="1:12" x14ac:dyDescent="0.3">
      <c r="A253" s="1" t="s">
        <v>511</v>
      </c>
      <c r="B253" s="4">
        <v>45623</v>
      </c>
      <c r="C253" s="1" t="s">
        <v>512</v>
      </c>
      <c r="D253" s="1" t="s">
        <v>368</v>
      </c>
      <c r="E253">
        <v>9</v>
      </c>
      <c r="F253">
        <v>34.369999999999997</v>
      </c>
      <c r="G253">
        <v>309.33</v>
      </c>
      <c r="H253">
        <v>92.798999999999992</v>
      </c>
      <c r="I253" s="1" t="s">
        <v>11</v>
      </c>
      <c r="J253">
        <v>27</v>
      </c>
      <c r="K253" s="1" t="s">
        <v>1500</v>
      </c>
      <c r="L253">
        <v>2024</v>
      </c>
    </row>
    <row r="254" spans="1:12" x14ac:dyDescent="0.3">
      <c r="A254" s="1" t="s">
        <v>513</v>
      </c>
      <c r="B254" s="4">
        <v>45314</v>
      </c>
      <c r="C254" s="1" t="s">
        <v>514</v>
      </c>
      <c r="D254" s="1" t="s">
        <v>123</v>
      </c>
      <c r="E254">
        <v>6</v>
      </c>
      <c r="F254">
        <v>20.28</v>
      </c>
      <c r="G254">
        <v>121.68</v>
      </c>
      <c r="H254">
        <v>36.503999999999998</v>
      </c>
      <c r="I254" s="1" t="s">
        <v>11</v>
      </c>
      <c r="J254">
        <v>23</v>
      </c>
      <c r="K254" s="1" t="s">
        <v>1493</v>
      </c>
      <c r="L254">
        <v>2024</v>
      </c>
    </row>
    <row r="255" spans="1:12" x14ac:dyDescent="0.3">
      <c r="A255" s="1" t="s">
        <v>515</v>
      </c>
      <c r="B255" s="4">
        <v>45734</v>
      </c>
      <c r="C255" s="1" t="s">
        <v>516</v>
      </c>
      <c r="D255" s="1" t="s">
        <v>67</v>
      </c>
      <c r="E255">
        <v>8</v>
      </c>
      <c r="F255">
        <v>29.94</v>
      </c>
      <c r="G255">
        <v>239.52</v>
      </c>
      <c r="H255">
        <v>71.855999999999995</v>
      </c>
      <c r="I255" s="1" t="s">
        <v>36</v>
      </c>
      <c r="J255">
        <v>18</v>
      </c>
      <c r="K255" s="1" t="s">
        <v>1491</v>
      </c>
      <c r="L255">
        <v>2025</v>
      </c>
    </row>
    <row r="256" spans="1:12" x14ac:dyDescent="0.3">
      <c r="A256" s="1" t="s">
        <v>517</v>
      </c>
      <c r="B256" s="4">
        <v>45951</v>
      </c>
      <c r="C256" s="1" t="s">
        <v>518</v>
      </c>
      <c r="D256" s="1" t="s">
        <v>42</v>
      </c>
      <c r="E256">
        <v>4</v>
      </c>
      <c r="F256">
        <v>165.9</v>
      </c>
      <c r="G256">
        <v>663.6</v>
      </c>
      <c r="H256">
        <v>199.08</v>
      </c>
      <c r="I256" s="1" t="s">
        <v>36</v>
      </c>
      <c r="J256">
        <v>21</v>
      </c>
      <c r="K256" s="1" t="s">
        <v>1490</v>
      </c>
      <c r="L256">
        <v>2025</v>
      </c>
    </row>
    <row r="257" spans="1:12" x14ac:dyDescent="0.3">
      <c r="A257" s="1" t="s">
        <v>519</v>
      </c>
      <c r="B257" s="4">
        <v>45630</v>
      </c>
      <c r="C257" s="1" t="s">
        <v>520</v>
      </c>
      <c r="D257" s="1" t="s">
        <v>88</v>
      </c>
      <c r="E257">
        <v>7</v>
      </c>
      <c r="F257">
        <v>162.21</v>
      </c>
      <c r="G257">
        <v>1135.47</v>
      </c>
      <c r="H257">
        <v>340.64100000000002</v>
      </c>
      <c r="I257" s="1" t="s">
        <v>36</v>
      </c>
      <c r="J257">
        <v>4</v>
      </c>
      <c r="K257" s="1" t="s">
        <v>1495</v>
      </c>
      <c r="L257">
        <v>2024</v>
      </c>
    </row>
    <row r="258" spans="1:12" x14ac:dyDescent="0.3">
      <c r="A258" s="1" t="s">
        <v>521</v>
      </c>
      <c r="B258" s="4">
        <v>45924</v>
      </c>
      <c r="C258" s="1" t="s">
        <v>462</v>
      </c>
      <c r="D258" s="1" t="s">
        <v>80</v>
      </c>
      <c r="E258">
        <v>2</v>
      </c>
      <c r="F258">
        <v>48.76</v>
      </c>
      <c r="G258">
        <v>97.52</v>
      </c>
      <c r="H258">
        <v>29.255999999999997</v>
      </c>
      <c r="I258" s="1" t="s">
        <v>15</v>
      </c>
      <c r="J258">
        <v>24</v>
      </c>
      <c r="K258" s="1" t="s">
        <v>1501</v>
      </c>
      <c r="L258">
        <v>2025</v>
      </c>
    </row>
    <row r="259" spans="1:12" x14ac:dyDescent="0.3">
      <c r="A259" s="1" t="s">
        <v>522</v>
      </c>
      <c r="B259" s="4">
        <v>45803</v>
      </c>
      <c r="C259" s="1" t="s">
        <v>523</v>
      </c>
      <c r="D259" s="1" t="s">
        <v>151</v>
      </c>
      <c r="E259">
        <v>2</v>
      </c>
      <c r="F259">
        <v>89.88</v>
      </c>
      <c r="G259">
        <v>179.76</v>
      </c>
      <c r="H259">
        <v>53.927999999999997</v>
      </c>
      <c r="I259" s="1" t="s">
        <v>15</v>
      </c>
      <c r="J259">
        <v>26</v>
      </c>
      <c r="K259" s="1" t="s">
        <v>1492</v>
      </c>
      <c r="L259">
        <v>2025</v>
      </c>
    </row>
    <row r="260" spans="1:12" x14ac:dyDescent="0.3">
      <c r="A260" s="1" t="s">
        <v>524</v>
      </c>
      <c r="B260" s="4">
        <v>45988</v>
      </c>
      <c r="C260" s="1" t="s">
        <v>160</v>
      </c>
      <c r="D260" s="1" t="s">
        <v>277</v>
      </c>
      <c r="E260">
        <v>8</v>
      </c>
      <c r="F260">
        <v>56.18</v>
      </c>
      <c r="G260">
        <v>449.44</v>
      </c>
      <c r="H260">
        <v>134.83199999999999</v>
      </c>
      <c r="I260" s="1" t="s">
        <v>19</v>
      </c>
      <c r="J260">
        <v>27</v>
      </c>
      <c r="K260" s="1" t="s">
        <v>1500</v>
      </c>
      <c r="L260">
        <v>2025</v>
      </c>
    </row>
    <row r="261" spans="1:12" x14ac:dyDescent="0.3">
      <c r="A261" s="1" t="s">
        <v>525</v>
      </c>
      <c r="B261" s="4">
        <v>45958</v>
      </c>
      <c r="C261" s="1" t="s">
        <v>526</v>
      </c>
      <c r="D261" s="1" t="s">
        <v>75</v>
      </c>
      <c r="E261">
        <v>9</v>
      </c>
      <c r="F261">
        <v>49.95</v>
      </c>
      <c r="G261">
        <v>449.55</v>
      </c>
      <c r="H261">
        <v>134.86500000000001</v>
      </c>
      <c r="I261" s="1" t="s">
        <v>11</v>
      </c>
      <c r="J261">
        <v>28</v>
      </c>
      <c r="K261" s="1" t="s">
        <v>1490</v>
      </c>
      <c r="L261">
        <v>2025</v>
      </c>
    </row>
    <row r="262" spans="1:12" x14ac:dyDescent="0.3">
      <c r="A262" s="1" t="s">
        <v>527</v>
      </c>
      <c r="B262" s="4">
        <v>46018</v>
      </c>
      <c r="C262" s="1" t="s">
        <v>528</v>
      </c>
      <c r="D262" s="1" t="s">
        <v>153</v>
      </c>
      <c r="E262">
        <v>7</v>
      </c>
      <c r="F262">
        <v>60.32</v>
      </c>
      <c r="G262">
        <v>422.24</v>
      </c>
      <c r="H262">
        <v>126.672</v>
      </c>
      <c r="I262" s="1" t="s">
        <v>11</v>
      </c>
      <c r="J262">
        <v>27</v>
      </c>
      <c r="K262" s="1" t="s">
        <v>1495</v>
      </c>
      <c r="L262">
        <v>2025</v>
      </c>
    </row>
    <row r="263" spans="1:12" x14ac:dyDescent="0.3">
      <c r="A263" s="1" t="s">
        <v>529</v>
      </c>
      <c r="B263" s="4">
        <v>45595</v>
      </c>
      <c r="C263" s="1" t="s">
        <v>530</v>
      </c>
      <c r="D263" s="1" t="s">
        <v>88</v>
      </c>
      <c r="E263">
        <v>6</v>
      </c>
      <c r="F263">
        <v>162.21</v>
      </c>
      <c r="G263">
        <v>973.26</v>
      </c>
      <c r="H263">
        <v>291.97800000000001</v>
      </c>
      <c r="I263" s="1" t="s">
        <v>15</v>
      </c>
      <c r="J263">
        <v>30</v>
      </c>
      <c r="K263" s="1" t="s">
        <v>1490</v>
      </c>
      <c r="L263">
        <v>2024</v>
      </c>
    </row>
    <row r="264" spans="1:12" x14ac:dyDescent="0.3">
      <c r="A264" s="1" t="s">
        <v>531</v>
      </c>
      <c r="B264" s="4">
        <v>45449</v>
      </c>
      <c r="C264" s="1" t="s">
        <v>526</v>
      </c>
      <c r="D264" s="1" t="s">
        <v>80</v>
      </c>
      <c r="E264">
        <v>9</v>
      </c>
      <c r="F264">
        <v>48.76</v>
      </c>
      <c r="G264">
        <v>438.84</v>
      </c>
      <c r="H264">
        <v>131.65199999999999</v>
      </c>
      <c r="I264" s="1" t="s">
        <v>15</v>
      </c>
      <c r="J264">
        <v>6</v>
      </c>
      <c r="K264" s="1" t="s">
        <v>1497</v>
      </c>
      <c r="L264">
        <v>2024</v>
      </c>
    </row>
    <row r="265" spans="1:12" x14ac:dyDescent="0.3">
      <c r="A265" s="1" t="s">
        <v>532</v>
      </c>
      <c r="B265" s="4">
        <v>45416</v>
      </c>
      <c r="C265" s="1" t="s">
        <v>533</v>
      </c>
      <c r="D265" s="1" t="s">
        <v>228</v>
      </c>
      <c r="E265">
        <v>8</v>
      </c>
      <c r="F265">
        <v>104.84</v>
      </c>
      <c r="G265">
        <v>838.72</v>
      </c>
      <c r="H265">
        <v>251.61599999999999</v>
      </c>
      <c r="I265" s="1" t="s">
        <v>19</v>
      </c>
      <c r="J265">
        <v>4</v>
      </c>
      <c r="K265" s="1" t="s">
        <v>1492</v>
      </c>
      <c r="L265">
        <v>2024</v>
      </c>
    </row>
    <row r="266" spans="1:12" x14ac:dyDescent="0.3">
      <c r="A266" s="1" t="s">
        <v>534</v>
      </c>
      <c r="B266" s="4">
        <v>45939</v>
      </c>
      <c r="C266" s="1" t="s">
        <v>56</v>
      </c>
      <c r="D266" s="1" t="s">
        <v>80</v>
      </c>
      <c r="E266">
        <v>5</v>
      </c>
      <c r="F266">
        <v>48.76</v>
      </c>
      <c r="G266">
        <v>243.8</v>
      </c>
      <c r="H266">
        <v>73.14</v>
      </c>
      <c r="I266" s="1" t="s">
        <v>19</v>
      </c>
      <c r="J266">
        <v>9</v>
      </c>
      <c r="K266" s="1" t="s">
        <v>1490</v>
      </c>
      <c r="L266">
        <v>2025</v>
      </c>
    </row>
    <row r="267" spans="1:12" x14ac:dyDescent="0.3">
      <c r="A267" s="1" t="s">
        <v>535</v>
      </c>
      <c r="B267" s="4">
        <v>46016</v>
      </c>
      <c r="C267" s="1" t="s">
        <v>536</v>
      </c>
      <c r="D267" s="1" t="s">
        <v>51</v>
      </c>
      <c r="E267">
        <v>3</v>
      </c>
      <c r="F267">
        <v>64.62</v>
      </c>
      <c r="G267">
        <v>193.86</v>
      </c>
      <c r="H267">
        <v>58.158000000000001</v>
      </c>
      <c r="I267" s="1" t="s">
        <v>15</v>
      </c>
      <c r="J267">
        <v>25</v>
      </c>
      <c r="K267" s="1" t="s">
        <v>1495</v>
      </c>
      <c r="L267">
        <v>2025</v>
      </c>
    </row>
    <row r="268" spans="1:12" x14ac:dyDescent="0.3">
      <c r="A268" s="1" t="s">
        <v>537</v>
      </c>
      <c r="B268" s="4">
        <v>45859</v>
      </c>
      <c r="C268" s="1" t="s">
        <v>263</v>
      </c>
      <c r="D268" s="1" t="s">
        <v>39</v>
      </c>
      <c r="E268">
        <v>3</v>
      </c>
      <c r="F268">
        <v>18.850000000000001</v>
      </c>
      <c r="G268">
        <v>56.55</v>
      </c>
      <c r="H268">
        <v>16.965</v>
      </c>
      <c r="I268" s="1" t="s">
        <v>11</v>
      </c>
      <c r="J268">
        <v>21</v>
      </c>
      <c r="K268" s="1" t="s">
        <v>1498</v>
      </c>
      <c r="L268">
        <v>2025</v>
      </c>
    </row>
    <row r="269" spans="1:12" x14ac:dyDescent="0.3">
      <c r="A269" s="1" t="s">
        <v>538</v>
      </c>
      <c r="B269" s="4">
        <v>45712</v>
      </c>
      <c r="C269" s="1" t="s">
        <v>539</v>
      </c>
      <c r="D269" s="1" t="s">
        <v>148</v>
      </c>
      <c r="E269">
        <v>4</v>
      </c>
      <c r="F269">
        <v>118.95</v>
      </c>
      <c r="G269">
        <v>475.8</v>
      </c>
      <c r="H269">
        <v>142.74</v>
      </c>
      <c r="I269" s="1" t="s">
        <v>11</v>
      </c>
      <c r="J269">
        <v>24</v>
      </c>
      <c r="K269" s="1" t="s">
        <v>1494</v>
      </c>
      <c r="L269">
        <v>2025</v>
      </c>
    </row>
    <row r="270" spans="1:12" x14ac:dyDescent="0.3">
      <c r="A270" s="1" t="s">
        <v>540</v>
      </c>
      <c r="B270" s="4">
        <v>45789</v>
      </c>
      <c r="C270" s="1" t="s">
        <v>541</v>
      </c>
      <c r="D270" s="1" t="s">
        <v>88</v>
      </c>
      <c r="E270">
        <v>2</v>
      </c>
      <c r="F270">
        <v>162.21</v>
      </c>
      <c r="G270">
        <v>324.42</v>
      </c>
      <c r="H270">
        <v>97.326000000000008</v>
      </c>
      <c r="I270" s="1" t="s">
        <v>11</v>
      </c>
      <c r="J270">
        <v>12</v>
      </c>
      <c r="K270" s="1" t="s">
        <v>1492</v>
      </c>
      <c r="L270">
        <v>2025</v>
      </c>
    </row>
    <row r="271" spans="1:12" x14ac:dyDescent="0.3">
      <c r="A271" s="1" t="s">
        <v>542</v>
      </c>
      <c r="B271" s="4">
        <v>45541</v>
      </c>
      <c r="C271" s="1" t="s">
        <v>331</v>
      </c>
      <c r="D271" s="1" t="s">
        <v>221</v>
      </c>
      <c r="E271">
        <v>4</v>
      </c>
      <c r="F271">
        <v>108.19</v>
      </c>
      <c r="G271">
        <v>432.76</v>
      </c>
      <c r="H271">
        <v>129.828</v>
      </c>
      <c r="I271" s="1" t="s">
        <v>15</v>
      </c>
      <c r="J271">
        <v>6</v>
      </c>
      <c r="K271" s="1" t="s">
        <v>1501</v>
      </c>
      <c r="L271">
        <v>2024</v>
      </c>
    </row>
    <row r="272" spans="1:12" x14ac:dyDescent="0.3">
      <c r="A272" s="1" t="s">
        <v>543</v>
      </c>
      <c r="B272" s="4">
        <v>45866</v>
      </c>
      <c r="C272" s="1" t="s">
        <v>544</v>
      </c>
      <c r="D272" s="1" t="s">
        <v>176</v>
      </c>
      <c r="E272">
        <v>1</v>
      </c>
      <c r="F272">
        <v>68.41</v>
      </c>
      <c r="G272">
        <v>68.41</v>
      </c>
      <c r="H272">
        <v>20.523</v>
      </c>
      <c r="I272" s="1" t="s">
        <v>11</v>
      </c>
      <c r="J272">
        <v>28</v>
      </c>
      <c r="K272" s="1" t="s">
        <v>1498</v>
      </c>
      <c r="L272">
        <v>2025</v>
      </c>
    </row>
    <row r="273" spans="1:12" x14ac:dyDescent="0.3">
      <c r="A273" s="1" t="s">
        <v>545</v>
      </c>
      <c r="B273" s="4">
        <v>45534</v>
      </c>
      <c r="C273" s="1" t="s">
        <v>144</v>
      </c>
      <c r="D273" s="1" t="s">
        <v>151</v>
      </c>
      <c r="E273">
        <v>5</v>
      </c>
      <c r="F273">
        <v>89.88</v>
      </c>
      <c r="G273">
        <v>449.4</v>
      </c>
      <c r="H273">
        <v>134.82</v>
      </c>
      <c r="I273" s="1" t="s">
        <v>19</v>
      </c>
      <c r="J273">
        <v>30</v>
      </c>
      <c r="K273" s="1" t="s">
        <v>1499</v>
      </c>
      <c r="L273">
        <v>2024</v>
      </c>
    </row>
    <row r="274" spans="1:12" x14ac:dyDescent="0.3">
      <c r="A274" s="1" t="s">
        <v>546</v>
      </c>
      <c r="B274" s="4">
        <v>45833</v>
      </c>
      <c r="C274" s="1" t="s">
        <v>547</v>
      </c>
      <c r="D274" s="1" t="s">
        <v>142</v>
      </c>
      <c r="E274">
        <v>4</v>
      </c>
      <c r="F274">
        <v>52.52</v>
      </c>
      <c r="G274">
        <v>210.08</v>
      </c>
      <c r="H274">
        <v>63.024000000000001</v>
      </c>
      <c r="I274" s="1" t="s">
        <v>36</v>
      </c>
      <c r="J274">
        <v>25</v>
      </c>
      <c r="K274" s="1" t="s">
        <v>1497</v>
      </c>
      <c r="L274">
        <v>2025</v>
      </c>
    </row>
    <row r="275" spans="1:12" x14ac:dyDescent="0.3">
      <c r="A275" s="1" t="s">
        <v>548</v>
      </c>
      <c r="B275" s="4">
        <v>45861</v>
      </c>
      <c r="C275" s="1" t="s">
        <v>549</v>
      </c>
      <c r="D275" s="1" t="s">
        <v>27</v>
      </c>
      <c r="E275">
        <v>8</v>
      </c>
      <c r="F275">
        <v>35.03</v>
      </c>
      <c r="G275">
        <v>280.24</v>
      </c>
      <c r="H275">
        <v>84.072000000000003</v>
      </c>
      <c r="I275" s="1" t="s">
        <v>11</v>
      </c>
      <c r="J275">
        <v>23</v>
      </c>
      <c r="K275" s="1" t="s">
        <v>1498</v>
      </c>
      <c r="L275">
        <v>2025</v>
      </c>
    </row>
    <row r="276" spans="1:12" x14ac:dyDescent="0.3">
      <c r="A276" s="1" t="s">
        <v>550</v>
      </c>
      <c r="B276" s="4">
        <v>45902</v>
      </c>
      <c r="C276" s="1" t="s">
        <v>518</v>
      </c>
      <c r="D276" s="1" t="s">
        <v>277</v>
      </c>
      <c r="E276">
        <v>8</v>
      </c>
      <c r="F276">
        <v>56.18</v>
      </c>
      <c r="G276">
        <v>449.44</v>
      </c>
      <c r="H276">
        <v>134.83199999999999</v>
      </c>
      <c r="I276" s="1" t="s">
        <v>11</v>
      </c>
      <c r="J276">
        <v>2</v>
      </c>
      <c r="K276" s="1" t="s">
        <v>1501</v>
      </c>
      <c r="L276">
        <v>2025</v>
      </c>
    </row>
    <row r="277" spans="1:12" x14ac:dyDescent="0.3">
      <c r="A277" s="1" t="s">
        <v>551</v>
      </c>
      <c r="B277" s="4">
        <v>45363</v>
      </c>
      <c r="C277" s="1" t="s">
        <v>552</v>
      </c>
      <c r="D277" s="1" t="s">
        <v>27</v>
      </c>
      <c r="E277">
        <v>2</v>
      </c>
      <c r="F277">
        <v>35.03</v>
      </c>
      <c r="G277">
        <v>70.06</v>
      </c>
      <c r="H277">
        <v>21.018000000000001</v>
      </c>
      <c r="I277" s="1" t="s">
        <v>19</v>
      </c>
      <c r="J277">
        <v>12</v>
      </c>
      <c r="K277" s="1" t="s">
        <v>1491</v>
      </c>
      <c r="L277">
        <v>2024</v>
      </c>
    </row>
    <row r="278" spans="1:12" x14ac:dyDescent="0.3">
      <c r="A278" s="1" t="s">
        <v>553</v>
      </c>
      <c r="B278" s="4">
        <v>45685</v>
      </c>
      <c r="C278" s="1" t="s">
        <v>554</v>
      </c>
      <c r="D278" s="1" t="s">
        <v>18</v>
      </c>
      <c r="E278">
        <v>8</v>
      </c>
      <c r="F278">
        <v>185.22</v>
      </c>
      <c r="G278">
        <v>1481.76</v>
      </c>
      <c r="H278">
        <v>444.52799999999996</v>
      </c>
      <c r="I278" s="1" t="s">
        <v>11</v>
      </c>
      <c r="J278">
        <v>28</v>
      </c>
      <c r="K278" s="1" t="s">
        <v>1493</v>
      </c>
      <c r="L278">
        <v>2025</v>
      </c>
    </row>
    <row r="279" spans="1:12" x14ac:dyDescent="0.3">
      <c r="A279" s="1" t="s">
        <v>555</v>
      </c>
      <c r="B279" s="4">
        <v>45557</v>
      </c>
      <c r="C279" s="1" t="s">
        <v>230</v>
      </c>
      <c r="D279" s="1" t="s">
        <v>244</v>
      </c>
      <c r="E279">
        <v>2</v>
      </c>
      <c r="F279">
        <v>193.35</v>
      </c>
      <c r="G279">
        <v>386.7</v>
      </c>
      <c r="H279">
        <v>116.00999999999999</v>
      </c>
      <c r="I279" s="1" t="s">
        <v>11</v>
      </c>
      <c r="J279">
        <v>22</v>
      </c>
      <c r="K279" s="1" t="s">
        <v>1501</v>
      </c>
      <c r="L279">
        <v>2024</v>
      </c>
    </row>
    <row r="280" spans="1:12" x14ac:dyDescent="0.3">
      <c r="A280" s="1" t="s">
        <v>556</v>
      </c>
      <c r="B280" s="4">
        <v>45428</v>
      </c>
      <c r="C280" s="1" t="s">
        <v>320</v>
      </c>
      <c r="D280" s="1" t="s">
        <v>142</v>
      </c>
      <c r="E280">
        <v>3</v>
      </c>
      <c r="F280">
        <v>52.52</v>
      </c>
      <c r="G280">
        <v>157.56</v>
      </c>
      <c r="H280">
        <v>47.268000000000001</v>
      </c>
      <c r="I280" s="1" t="s">
        <v>36</v>
      </c>
      <c r="J280">
        <v>16</v>
      </c>
      <c r="K280" s="1" t="s">
        <v>1492</v>
      </c>
      <c r="L280">
        <v>2024</v>
      </c>
    </row>
    <row r="281" spans="1:12" x14ac:dyDescent="0.3">
      <c r="A281" s="1" t="s">
        <v>557</v>
      </c>
      <c r="B281" s="4">
        <v>45641</v>
      </c>
      <c r="C281" s="1" t="s">
        <v>558</v>
      </c>
      <c r="D281" s="1" t="s">
        <v>60</v>
      </c>
      <c r="E281">
        <v>8</v>
      </c>
      <c r="F281">
        <v>107.88</v>
      </c>
      <c r="G281">
        <v>863.04</v>
      </c>
      <c r="H281">
        <v>258.91199999999998</v>
      </c>
      <c r="I281" s="1" t="s">
        <v>15</v>
      </c>
      <c r="J281">
        <v>15</v>
      </c>
      <c r="K281" s="1" t="s">
        <v>1495</v>
      </c>
      <c r="L281">
        <v>2024</v>
      </c>
    </row>
    <row r="282" spans="1:12" x14ac:dyDescent="0.3">
      <c r="A282" s="1" t="s">
        <v>559</v>
      </c>
      <c r="B282" s="4">
        <v>45846</v>
      </c>
      <c r="C282" s="1" t="s">
        <v>560</v>
      </c>
      <c r="D282" s="1" t="s">
        <v>239</v>
      </c>
      <c r="E282">
        <v>6</v>
      </c>
      <c r="F282">
        <v>103.45</v>
      </c>
      <c r="G282">
        <v>620.70000000000005</v>
      </c>
      <c r="H282">
        <v>186.21</v>
      </c>
      <c r="I282" s="1" t="s">
        <v>36</v>
      </c>
      <c r="J282">
        <v>8</v>
      </c>
      <c r="K282" s="1" t="s">
        <v>1498</v>
      </c>
      <c r="L282">
        <v>2025</v>
      </c>
    </row>
    <row r="283" spans="1:12" x14ac:dyDescent="0.3">
      <c r="A283" s="1" t="s">
        <v>561</v>
      </c>
      <c r="B283" s="4">
        <v>45588</v>
      </c>
      <c r="C283" s="1" t="s">
        <v>562</v>
      </c>
      <c r="D283" s="1" t="s">
        <v>123</v>
      </c>
      <c r="E283">
        <v>7</v>
      </c>
      <c r="F283">
        <v>20.28</v>
      </c>
      <c r="G283">
        <v>141.96</v>
      </c>
      <c r="H283">
        <v>42.588000000000001</v>
      </c>
      <c r="I283" s="1" t="s">
        <v>15</v>
      </c>
      <c r="J283">
        <v>23</v>
      </c>
      <c r="K283" s="1" t="s">
        <v>1490</v>
      </c>
      <c r="L283">
        <v>2024</v>
      </c>
    </row>
    <row r="284" spans="1:12" x14ac:dyDescent="0.3">
      <c r="A284" s="1" t="s">
        <v>563</v>
      </c>
      <c r="B284" s="4">
        <v>45499</v>
      </c>
      <c r="C284" s="1" t="s">
        <v>564</v>
      </c>
      <c r="D284" s="1" t="s">
        <v>148</v>
      </c>
      <c r="E284">
        <v>8</v>
      </c>
      <c r="F284">
        <v>118.95</v>
      </c>
      <c r="G284">
        <v>951.6</v>
      </c>
      <c r="H284">
        <v>285.48</v>
      </c>
      <c r="I284" s="1" t="s">
        <v>19</v>
      </c>
      <c r="J284">
        <v>26</v>
      </c>
      <c r="K284" s="1" t="s">
        <v>1498</v>
      </c>
      <c r="L284">
        <v>2024</v>
      </c>
    </row>
    <row r="285" spans="1:12" x14ac:dyDescent="0.3">
      <c r="A285" s="1" t="s">
        <v>565</v>
      </c>
      <c r="B285" s="4">
        <v>45681</v>
      </c>
      <c r="C285" s="1" t="s">
        <v>363</v>
      </c>
      <c r="D285" s="1" t="s">
        <v>80</v>
      </c>
      <c r="E285">
        <v>6</v>
      </c>
      <c r="F285">
        <v>48.76</v>
      </c>
      <c r="G285">
        <v>292.56</v>
      </c>
      <c r="H285">
        <v>87.768000000000001</v>
      </c>
      <c r="I285" s="1" t="s">
        <v>36</v>
      </c>
      <c r="J285">
        <v>24</v>
      </c>
      <c r="K285" s="1" t="s">
        <v>1493</v>
      </c>
      <c r="L285">
        <v>2025</v>
      </c>
    </row>
    <row r="286" spans="1:12" x14ac:dyDescent="0.3">
      <c r="A286" s="1" t="s">
        <v>566</v>
      </c>
      <c r="B286" s="4">
        <v>45734</v>
      </c>
      <c r="C286" s="1" t="s">
        <v>567</v>
      </c>
      <c r="D286" s="1" t="s">
        <v>368</v>
      </c>
      <c r="E286">
        <v>5</v>
      </c>
      <c r="F286">
        <v>34.369999999999997</v>
      </c>
      <c r="G286">
        <v>171.85</v>
      </c>
      <c r="H286">
        <v>51.555</v>
      </c>
      <c r="I286" s="1" t="s">
        <v>36</v>
      </c>
      <c r="J286">
        <v>18</v>
      </c>
      <c r="K286" s="1" t="s">
        <v>1491</v>
      </c>
      <c r="L286">
        <v>2025</v>
      </c>
    </row>
    <row r="287" spans="1:12" x14ac:dyDescent="0.3">
      <c r="A287" s="1" t="s">
        <v>568</v>
      </c>
      <c r="B287" s="4">
        <v>45871</v>
      </c>
      <c r="C287" s="1" t="s">
        <v>445</v>
      </c>
      <c r="D287" s="1" t="s">
        <v>14</v>
      </c>
      <c r="E287">
        <v>1</v>
      </c>
      <c r="F287">
        <v>86.37</v>
      </c>
      <c r="G287">
        <v>86.37</v>
      </c>
      <c r="H287">
        <v>25.911000000000001</v>
      </c>
      <c r="I287" s="1" t="s">
        <v>36</v>
      </c>
      <c r="J287">
        <v>2</v>
      </c>
      <c r="K287" s="1" t="s">
        <v>1499</v>
      </c>
      <c r="L287">
        <v>2025</v>
      </c>
    </row>
    <row r="288" spans="1:12" x14ac:dyDescent="0.3">
      <c r="A288" s="1" t="s">
        <v>569</v>
      </c>
      <c r="B288" s="4">
        <v>45616</v>
      </c>
      <c r="C288" s="1" t="s">
        <v>481</v>
      </c>
      <c r="D288" s="1" t="s">
        <v>24</v>
      </c>
      <c r="E288">
        <v>3</v>
      </c>
      <c r="F288">
        <v>134.32</v>
      </c>
      <c r="G288">
        <v>402.96</v>
      </c>
      <c r="H288">
        <v>120.88799999999999</v>
      </c>
      <c r="I288" s="1" t="s">
        <v>19</v>
      </c>
      <c r="J288">
        <v>20</v>
      </c>
      <c r="K288" s="1" t="s">
        <v>1500</v>
      </c>
      <c r="L288">
        <v>2024</v>
      </c>
    </row>
    <row r="289" spans="1:12" x14ac:dyDescent="0.3">
      <c r="A289" s="1" t="s">
        <v>570</v>
      </c>
      <c r="B289" s="4">
        <v>45355</v>
      </c>
      <c r="C289" s="1" t="s">
        <v>571</v>
      </c>
      <c r="D289" s="1" t="s">
        <v>51</v>
      </c>
      <c r="E289">
        <v>3</v>
      </c>
      <c r="F289">
        <v>64.62</v>
      </c>
      <c r="G289">
        <v>193.86</v>
      </c>
      <c r="H289">
        <v>58.158000000000001</v>
      </c>
      <c r="I289" s="1" t="s">
        <v>15</v>
      </c>
      <c r="J289">
        <v>4</v>
      </c>
      <c r="K289" s="1" t="s">
        <v>1491</v>
      </c>
      <c r="L289">
        <v>2024</v>
      </c>
    </row>
    <row r="290" spans="1:12" x14ac:dyDescent="0.3">
      <c r="A290" s="1" t="s">
        <v>572</v>
      </c>
      <c r="B290" s="4">
        <v>45892</v>
      </c>
      <c r="C290" s="1" t="s">
        <v>77</v>
      </c>
      <c r="D290" s="1" t="s">
        <v>33</v>
      </c>
      <c r="E290">
        <v>2</v>
      </c>
      <c r="F290">
        <v>78.92</v>
      </c>
      <c r="G290">
        <v>157.84</v>
      </c>
      <c r="H290">
        <v>47.351999999999997</v>
      </c>
      <c r="I290" s="1" t="s">
        <v>19</v>
      </c>
      <c r="J290">
        <v>23</v>
      </c>
      <c r="K290" s="1" t="s">
        <v>1499</v>
      </c>
      <c r="L290">
        <v>2025</v>
      </c>
    </row>
    <row r="291" spans="1:12" x14ac:dyDescent="0.3">
      <c r="A291" s="1" t="s">
        <v>573</v>
      </c>
      <c r="B291" s="4">
        <v>45486</v>
      </c>
      <c r="C291" s="1" t="s">
        <v>150</v>
      </c>
      <c r="D291" s="1" t="s">
        <v>88</v>
      </c>
      <c r="E291">
        <v>3</v>
      </c>
      <c r="F291">
        <v>162.21</v>
      </c>
      <c r="G291">
        <v>486.63</v>
      </c>
      <c r="H291">
        <v>145.989</v>
      </c>
      <c r="I291" s="1" t="s">
        <v>11</v>
      </c>
      <c r="J291">
        <v>13</v>
      </c>
      <c r="K291" s="1" t="s">
        <v>1498</v>
      </c>
      <c r="L291">
        <v>2024</v>
      </c>
    </row>
    <row r="292" spans="1:12" x14ac:dyDescent="0.3">
      <c r="A292" s="1" t="s">
        <v>574</v>
      </c>
      <c r="B292" s="4">
        <v>45853</v>
      </c>
      <c r="C292" s="1" t="s">
        <v>82</v>
      </c>
      <c r="D292" s="1" t="s">
        <v>102</v>
      </c>
      <c r="E292">
        <v>3</v>
      </c>
      <c r="F292">
        <v>41.45</v>
      </c>
      <c r="G292">
        <v>124.35</v>
      </c>
      <c r="H292">
        <v>37.305</v>
      </c>
      <c r="I292" s="1" t="s">
        <v>19</v>
      </c>
      <c r="J292">
        <v>15</v>
      </c>
      <c r="K292" s="1" t="s">
        <v>1498</v>
      </c>
      <c r="L292">
        <v>2025</v>
      </c>
    </row>
    <row r="293" spans="1:12" x14ac:dyDescent="0.3">
      <c r="A293" s="1" t="s">
        <v>575</v>
      </c>
      <c r="B293" s="4">
        <v>45430</v>
      </c>
      <c r="C293" s="1" t="s">
        <v>186</v>
      </c>
      <c r="D293" s="1" t="s">
        <v>332</v>
      </c>
      <c r="E293">
        <v>5</v>
      </c>
      <c r="F293">
        <v>115.1</v>
      </c>
      <c r="G293">
        <v>575.5</v>
      </c>
      <c r="H293">
        <v>172.65</v>
      </c>
      <c r="I293" s="1" t="s">
        <v>36</v>
      </c>
      <c r="J293">
        <v>18</v>
      </c>
      <c r="K293" s="1" t="s">
        <v>1492</v>
      </c>
      <c r="L293">
        <v>2024</v>
      </c>
    </row>
    <row r="294" spans="1:12" x14ac:dyDescent="0.3">
      <c r="A294" s="1" t="s">
        <v>576</v>
      </c>
      <c r="B294" s="4">
        <v>45569</v>
      </c>
      <c r="C294" s="1" t="s">
        <v>577</v>
      </c>
      <c r="D294" s="1" t="s">
        <v>221</v>
      </c>
      <c r="E294">
        <v>9</v>
      </c>
      <c r="F294">
        <v>108.19</v>
      </c>
      <c r="G294">
        <v>973.71</v>
      </c>
      <c r="H294">
        <v>292.113</v>
      </c>
      <c r="I294" s="1" t="s">
        <v>15</v>
      </c>
      <c r="J294">
        <v>4</v>
      </c>
      <c r="K294" s="1" t="s">
        <v>1490</v>
      </c>
      <c r="L294">
        <v>2024</v>
      </c>
    </row>
    <row r="295" spans="1:12" x14ac:dyDescent="0.3">
      <c r="A295" s="1" t="s">
        <v>578</v>
      </c>
      <c r="B295" s="4">
        <v>46014</v>
      </c>
      <c r="C295" s="1" t="s">
        <v>579</v>
      </c>
      <c r="D295" s="1" t="s">
        <v>30</v>
      </c>
      <c r="E295">
        <v>3</v>
      </c>
      <c r="F295">
        <v>74.61</v>
      </c>
      <c r="G295">
        <v>223.83</v>
      </c>
      <c r="H295">
        <v>67.149000000000001</v>
      </c>
      <c r="I295" s="1" t="s">
        <v>11</v>
      </c>
      <c r="J295">
        <v>23</v>
      </c>
      <c r="K295" s="1" t="s">
        <v>1495</v>
      </c>
      <c r="L295">
        <v>2025</v>
      </c>
    </row>
    <row r="296" spans="1:12" x14ac:dyDescent="0.3">
      <c r="A296" s="1" t="s">
        <v>580</v>
      </c>
      <c r="B296" s="4">
        <v>45539</v>
      </c>
      <c r="C296" s="1" t="s">
        <v>581</v>
      </c>
      <c r="D296" s="1" t="s">
        <v>183</v>
      </c>
      <c r="E296">
        <v>6</v>
      </c>
      <c r="F296">
        <v>12.47</v>
      </c>
      <c r="G296">
        <v>74.819999999999993</v>
      </c>
      <c r="H296">
        <v>22.445999999999998</v>
      </c>
      <c r="I296" s="1" t="s">
        <v>15</v>
      </c>
      <c r="J296">
        <v>4</v>
      </c>
      <c r="K296" s="1" t="s">
        <v>1501</v>
      </c>
      <c r="L296">
        <v>2024</v>
      </c>
    </row>
    <row r="297" spans="1:12" x14ac:dyDescent="0.3">
      <c r="A297" s="1" t="s">
        <v>582</v>
      </c>
      <c r="B297" s="4">
        <v>45488</v>
      </c>
      <c r="C297" s="1" t="s">
        <v>583</v>
      </c>
      <c r="D297" s="1" t="s">
        <v>261</v>
      </c>
      <c r="E297">
        <v>4</v>
      </c>
      <c r="F297">
        <v>176.31</v>
      </c>
      <c r="G297">
        <v>705.24</v>
      </c>
      <c r="H297">
        <v>211.572</v>
      </c>
      <c r="I297" s="1" t="s">
        <v>11</v>
      </c>
      <c r="J297">
        <v>15</v>
      </c>
      <c r="K297" s="1" t="s">
        <v>1498</v>
      </c>
      <c r="L297">
        <v>2024</v>
      </c>
    </row>
    <row r="298" spans="1:12" x14ac:dyDescent="0.3">
      <c r="A298" s="1" t="s">
        <v>584</v>
      </c>
      <c r="B298" s="4">
        <v>45576</v>
      </c>
      <c r="C298" s="1" t="s">
        <v>457</v>
      </c>
      <c r="D298" s="1" t="s">
        <v>228</v>
      </c>
      <c r="E298">
        <v>2</v>
      </c>
      <c r="F298">
        <v>104.84</v>
      </c>
      <c r="G298">
        <v>209.68</v>
      </c>
      <c r="H298">
        <v>62.903999999999996</v>
      </c>
      <c r="I298" s="1" t="s">
        <v>15</v>
      </c>
      <c r="J298">
        <v>11</v>
      </c>
      <c r="K298" s="1" t="s">
        <v>1490</v>
      </c>
      <c r="L298">
        <v>2024</v>
      </c>
    </row>
    <row r="299" spans="1:12" x14ac:dyDescent="0.3">
      <c r="A299" s="1" t="s">
        <v>585</v>
      </c>
      <c r="B299" s="4">
        <v>45336</v>
      </c>
      <c r="C299" s="1" t="s">
        <v>481</v>
      </c>
      <c r="D299" s="1" t="s">
        <v>277</v>
      </c>
      <c r="E299">
        <v>4</v>
      </c>
      <c r="F299">
        <v>56.18</v>
      </c>
      <c r="G299">
        <v>224.72</v>
      </c>
      <c r="H299">
        <v>67.415999999999997</v>
      </c>
      <c r="I299" s="1" t="s">
        <v>11</v>
      </c>
      <c r="J299">
        <v>14</v>
      </c>
      <c r="K299" s="1" t="s">
        <v>1494</v>
      </c>
      <c r="L299">
        <v>2024</v>
      </c>
    </row>
    <row r="300" spans="1:12" x14ac:dyDescent="0.3">
      <c r="A300" s="1" t="s">
        <v>586</v>
      </c>
      <c r="B300" s="4">
        <v>45876</v>
      </c>
      <c r="C300" s="1" t="s">
        <v>285</v>
      </c>
      <c r="D300" s="1" t="s">
        <v>148</v>
      </c>
      <c r="E300">
        <v>10</v>
      </c>
      <c r="F300">
        <v>118.95</v>
      </c>
      <c r="G300">
        <v>1189.5</v>
      </c>
      <c r="H300">
        <v>356.84999999999997</v>
      </c>
      <c r="I300" s="1" t="s">
        <v>36</v>
      </c>
      <c r="J300">
        <v>7</v>
      </c>
      <c r="K300" s="1" t="s">
        <v>1499</v>
      </c>
      <c r="L300">
        <v>2025</v>
      </c>
    </row>
    <row r="301" spans="1:12" x14ac:dyDescent="0.3">
      <c r="A301" s="1" t="s">
        <v>587</v>
      </c>
      <c r="B301" s="4">
        <v>45854</v>
      </c>
      <c r="C301" s="1" t="s">
        <v>588</v>
      </c>
      <c r="D301" s="1" t="s">
        <v>111</v>
      </c>
      <c r="E301">
        <v>6</v>
      </c>
      <c r="F301">
        <v>91.3</v>
      </c>
      <c r="G301">
        <v>547.79999999999995</v>
      </c>
      <c r="H301">
        <v>164.33999999999997</v>
      </c>
      <c r="I301" s="1" t="s">
        <v>36</v>
      </c>
      <c r="J301">
        <v>16</v>
      </c>
      <c r="K301" s="1" t="s">
        <v>1498</v>
      </c>
      <c r="L301">
        <v>2025</v>
      </c>
    </row>
    <row r="302" spans="1:12" x14ac:dyDescent="0.3">
      <c r="A302" s="1" t="s">
        <v>589</v>
      </c>
      <c r="B302" s="4">
        <v>45844</v>
      </c>
      <c r="C302" s="1" t="s">
        <v>523</v>
      </c>
      <c r="D302" s="1" t="s">
        <v>10</v>
      </c>
      <c r="E302">
        <v>7</v>
      </c>
      <c r="F302">
        <v>112.61</v>
      </c>
      <c r="G302">
        <v>788.27</v>
      </c>
      <c r="H302">
        <v>236.48099999999999</v>
      </c>
      <c r="I302" s="1" t="s">
        <v>15</v>
      </c>
      <c r="J302">
        <v>6</v>
      </c>
      <c r="K302" s="1" t="s">
        <v>1498</v>
      </c>
      <c r="L302">
        <v>2025</v>
      </c>
    </row>
    <row r="303" spans="1:12" x14ac:dyDescent="0.3">
      <c r="A303" s="1" t="s">
        <v>590</v>
      </c>
      <c r="B303" s="4">
        <v>45472</v>
      </c>
      <c r="C303" s="1" t="s">
        <v>591</v>
      </c>
      <c r="D303" s="1" t="s">
        <v>123</v>
      </c>
      <c r="E303">
        <v>6</v>
      </c>
      <c r="F303">
        <v>20.28</v>
      </c>
      <c r="G303">
        <v>121.68</v>
      </c>
      <c r="H303">
        <v>36.503999999999998</v>
      </c>
      <c r="I303" s="1" t="s">
        <v>19</v>
      </c>
      <c r="J303">
        <v>29</v>
      </c>
      <c r="K303" s="1" t="s">
        <v>1497</v>
      </c>
      <c r="L303">
        <v>2024</v>
      </c>
    </row>
    <row r="304" spans="1:12" x14ac:dyDescent="0.3">
      <c r="A304" s="1" t="s">
        <v>592</v>
      </c>
      <c r="B304" s="4">
        <v>45810</v>
      </c>
      <c r="C304" s="1" t="s">
        <v>593</v>
      </c>
      <c r="D304" s="1" t="s">
        <v>327</v>
      </c>
      <c r="E304">
        <v>7</v>
      </c>
      <c r="F304">
        <v>89.24</v>
      </c>
      <c r="G304">
        <v>624.67999999999995</v>
      </c>
      <c r="H304">
        <v>187.40399999999997</v>
      </c>
      <c r="I304" s="1" t="s">
        <v>15</v>
      </c>
      <c r="J304">
        <v>2</v>
      </c>
      <c r="K304" s="1" t="s">
        <v>1497</v>
      </c>
      <c r="L304">
        <v>2025</v>
      </c>
    </row>
    <row r="305" spans="1:12" x14ac:dyDescent="0.3">
      <c r="A305" s="1" t="s">
        <v>594</v>
      </c>
      <c r="B305" s="4">
        <v>45438</v>
      </c>
      <c r="C305" s="1" t="s">
        <v>595</v>
      </c>
      <c r="D305" s="1" t="s">
        <v>83</v>
      </c>
      <c r="E305">
        <v>5</v>
      </c>
      <c r="F305">
        <v>28.49</v>
      </c>
      <c r="G305">
        <v>142.44999999999999</v>
      </c>
      <c r="H305">
        <v>42.734999999999992</v>
      </c>
      <c r="I305" s="1" t="s">
        <v>15</v>
      </c>
      <c r="J305">
        <v>26</v>
      </c>
      <c r="K305" s="1" t="s">
        <v>1492</v>
      </c>
      <c r="L305">
        <v>2024</v>
      </c>
    </row>
    <row r="306" spans="1:12" x14ac:dyDescent="0.3">
      <c r="A306" s="1" t="s">
        <v>596</v>
      </c>
      <c r="B306" s="4">
        <v>45911</v>
      </c>
      <c r="C306" s="1" t="s">
        <v>597</v>
      </c>
      <c r="D306" s="1" t="s">
        <v>332</v>
      </c>
      <c r="E306">
        <v>3</v>
      </c>
      <c r="F306">
        <v>115.1</v>
      </c>
      <c r="G306">
        <v>345.3</v>
      </c>
      <c r="H306">
        <v>103.59</v>
      </c>
      <c r="I306" s="1" t="s">
        <v>15</v>
      </c>
      <c r="J306">
        <v>11</v>
      </c>
      <c r="K306" s="1" t="s">
        <v>1501</v>
      </c>
      <c r="L306">
        <v>2025</v>
      </c>
    </row>
    <row r="307" spans="1:12" x14ac:dyDescent="0.3">
      <c r="A307" s="1" t="s">
        <v>598</v>
      </c>
      <c r="B307" s="4">
        <v>45881</v>
      </c>
      <c r="C307" s="1" t="s">
        <v>599</v>
      </c>
      <c r="D307" s="1" t="s">
        <v>30</v>
      </c>
      <c r="E307">
        <v>7</v>
      </c>
      <c r="F307">
        <v>74.61</v>
      </c>
      <c r="G307">
        <v>522.27</v>
      </c>
      <c r="H307">
        <v>156.68099999999998</v>
      </c>
      <c r="I307" s="1" t="s">
        <v>11</v>
      </c>
      <c r="J307">
        <v>12</v>
      </c>
      <c r="K307" s="1" t="s">
        <v>1499</v>
      </c>
      <c r="L307">
        <v>2025</v>
      </c>
    </row>
    <row r="308" spans="1:12" x14ac:dyDescent="0.3">
      <c r="A308" s="1" t="s">
        <v>600</v>
      </c>
      <c r="B308" s="4">
        <v>45497</v>
      </c>
      <c r="C308" s="1" t="s">
        <v>601</v>
      </c>
      <c r="D308" s="1" t="s">
        <v>151</v>
      </c>
      <c r="E308">
        <v>4</v>
      </c>
      <c r="F308">
        <v>89.88</v>
      </c>
      <c r="G308">
        <v>359.52</v>
      </c>
      <c r="H308">
        <v>107.85599999999999</v>
      </c>
      <c r="I308" s="1" t="s">
        <v>11</v>
      </c>
      <c r="J308">
        <v>24</v>
      </c>
      <c r="K308" s="1" t="s">
        <v>1498</v>
      </c>
      <c r="L308">
        <v>2024</v>
      </c>
    </row>
    <row r="309" spans="1:12" x14ac:dyDescent="0.3">
      <c r="A309" s="1" t="s">
        <v>602</v>
      </c>
      <c r="B309" s="4">
        <v>45506</v>
      </c>
      <c r="C309" s="1" t="s">
        <v>139</v>
      </c>
      <c r="D309" s="1" t="s">
        <v>33</v>
      </c>
      <c r="E309">
        <v>5</v>
      </c>
      <c r="F309">
        <v>78.92</v>
      </c>
      <c r="G309">
        <v>394.6</v>
      </c>
      <c r="H309">
        <v>118.38</v>
      </c>
      <c r="I309" s="1" t="s">
        <v>19</v>
      </c>
      <c r="J309">
        <v>2</v>
      </c>
      <c r="K309" s="1" t="s">
        <v>1499</v>
      </c>
      <c r="L309">
        <v>2024</v>
      </c>
    </row>
    <row r="310" spans="1:12" x14ac:dyDescent="0.3">
      <c r="A310" s="1" t="s">
        <v>603</v>
      </c>
      <c r="B310" s="4">
        <v>45705</v>
      </c>
      <c r="C310" s="1" t="s">
        <v>604</v>
      </c>
      <c r="D310" s="1" t="s">
        <v>201</v>
      </c>
      <c r="E310">
        <v>2</v>
      </c>
      <c r="F310">
        <v>53.74</v>
      </c>
      <c r="G310">
        <v>107.48</v>
      </c>
      <c r="H310">
        <v>32.244</v>
      </c>
      <c r="I310" s="1" t="s">
        <v>36</v>
      </c>
      <c r="J310">
        <v>17</v>
      </c>
      <c r="K310" s="1" t="s">
        <v>1494</v>
      </c>
      <c r="L310">
        <v>2025</v>
      </c>
    </row>
    <row r="311" spans="1:12" x14ac:dyDescent="0.3">
      <c r="A311" s="1" t="s">
        <v>605</v>
      </c>
      <c r="B311" s="4">
        <v>45758</v>
      </c>
      <c r="C311" s="1" t="s">
        <v>434</v>
      </c>
      <c r="D311" s="1" t="s">
        <v>99</v>
      </c>
      <c r="E311">
        <v>10</v>
      </c>
      <c r="F311">
        <v>162.96</v>
      </c>
      <c r="G311">
        <v>1629.6</v>
      </c>
      <c r="H311">
        <v>488.87999999999994</v>
      </c>
      <c r="I311" s="1" t="s">
        <v>11</v>
      </c>
      <c r="J311">
        <v>11</v>
      </c>
      <c r="K311" s="1" t="s">
        <v>1496</v>
      </c>
      <c r="L311">
        <v>2025</v>
      </c>
    </row>
    <row r="312" spans="1:12" x14ac:dyDescent="0.3">
      <c r="A312" s="1" t="s">
        <v>606</v>
      </c>
      <c r="B312" s="4">
        <v>45883</v>
      </c>
      <c r="C312" s="1" t="s">
        <v>408</v>
      </c>
      <c r="D312" s="1" t="s">
        <v>75</v>
      </c>
      <c r="E312">
        <v>3</v>
      </c>
      <c r="F312">
        <v>49.95</v>
      </c>
      <c r="G312">
        <v>149.85</v>
      </c>
      <c r="H312">
        <v>44.954999999999998</v>
      </c>
      <c r="I312" s="1" t="s">
        <v>19</v>
      </c>
      <c r="J312">
        <v>14</v>
      </c>
      <c r="K312" s="1" t="s">
        <v>1499</v>
      </c>
      <c r="L312">
        <v>2025</v>
      </c>
    </row>
    <row r="313" spans="1:12" x14ac:dyDescent="0.3">
      <c r="A313" s="1" t="s">
        <v>607</v>
      </c>
      <c r="B313" s="4">
        <v>45294</v>
      </c>
      <c r="C313" s="1" t="s">
        <v>608</v>
      </c>
      <c r="D313" s="1" t="s">
        <v>142</v>
      </c>
      <c r="E313">
        <v>8</v>
      </c>
      <c r="F313">
        <v>52.52</v>
      </c>
      <c r="G313">
        <v>420.16</v>
      </c>
      <c r="H313">
        <v>126.048</v>
      </c>
      <c r="I313" s="1" t="s">
        <v>36</v>
      </c>
      <c r="J313">
        <v>3</v>
      </c>
      <c r="K313" s="1" t="s">
        <v>1493</v>
      </c>
      <c r="L313">
        <v>2024</v>
      </c>
    </row>
    <row r="314" spans="1:12" x14ac:dyDescent="0.3">
      <c r="A314" s="1" t="s">
        <v>609</v>
      </c>
      <c r="B314" s="4">
        <v>45985</v>
      </c>
      <c r="C314" s="1" t="s">
        <v>462</v>
      </c>
      <c r="D314" s="1" t="s">
        <v>24</v>
      </c>
      <c r="E314">
        <v>5</v>
      </c>
      <c r="F314">
        <v>134.32</v>
      </c>
      <c r="G314">
        <v>671.6</v>
      </c>
      <c r="H314">
        <v>201.48</v>
      </c>
      <c r="I314" s="1" t="s">
        <v>15</v>
      </c>
      <c r="J314">
        <v>24</v>
      </c>
      <c r="K314" s="1" t="s">
        <v>1500</v>
      </c>
      <c r="L314">
        <v>2025</v>
      </c>
    </row>
    <row r="315" spans="1:12" x14ac:dyDescent="0.3">
      <c r="A315" s="1" t="s">
        <v>610</v>
      </c>
      <c r="B315" s="4">
        <v>45804</v>
      </c>
      <c r="C315" s="1" t="s">
        <v>79</v>
      </c>
      <c r="D315" s="1" t="s">
        <v>88</v>
      </c>
      <c r="E315">
        <v>5</v>
      </c>
      <c r="F315">
        <v>162.21</v>
      </c>
      <c r="G315">
        <v>811.05</v>
      </c>
      <c r="H315">
        <v>243.31499999999997</v>
      </c>
      <c r="I315" s="1" t="s">
        <v>19</v>
      </c>
      <c r="J315">
        <v>27</v>
      </c>
      <c r="K315" s="1" t="s">
        <v>1492</v>
      </c>
      <c r="L315">
        <v>2025</v>
      </c>
    </row>
    <row r="316" spans="1:12" x14ac:dyDescent="0.3">
      <c r="A316" s="1" t="s">
        <v>611</v>
      </c>
      <c r="B316" s="4">
        <v>45472</v>
      </c>
      <c r="C316" s="1" t="s">
        <v>612</v>
      </c>
      <c r="D316" s="1" t="s">
        <v>123</v>
      </c>
      <c r="E316">
        <v>2</v>
      </c>
      <c r="F316">
        <v>20.28</v>
      </c>
      <c r="G316">
        <v>40.56</v>
      </c>
      <c r="H316">
        <v>12.168000000000001</v>
      </c>
      <c r="I316" s="1" t="s">
        <v>15</v>
      </c>
      <c r="J316">
        <v>29</v>
      </c>
      <c r="K316" s="1" t="s">
        <v>1497</v>
      </c>
      <c r="L316">
        <v>2024</v>
      </c>
    </row>
    <row r="317" spans="1:12" x14ac:dyDescent="0.3">
      <c r="A317" s="1" t="s">
        <v>613</v>
      </c>
      <c r="B317" s="4">
        <v>45506</v>
      </c>
      <c r="C317" s="1" t="s">
        <v>392</v>
      </c>
      <c r="D317" s="1" t="s">
        <v>45</v>
      </c>
      <c r="E317">
        <v>10</v>
      </c>
      <c r="F317">
        <v>24.62</v>
      </c>
      <c r="G317">
        <v>246.2</v>
      </c>
      <c r="H317">
        <v>73.86</v>
      </c>
      <c r="I317" s="1" t="s">
        <v>19</v>
      </c>
      <c r="J317">
        <v>2</v>
      </c>
      <c r="K317" s="1" t="s">
        <v>1499</v>
      </c>
      <c r="L317">
        <v>2024</v>
      </c>
    </row>
    <row r="318" spans="1:12" x14ac:dyDescent="0.3">
      <c r="A318" s="1" t="s">
        <v>614</v>
      </c>
      <c r="B318" s="4">
        <v>45485</v>
      </c>
      <c r="C318" s="1" t="s">
        <v>363</v>
      </c>
      <c r="D318" s="1" t="s">
        <v>60</v>
      </c>
      <c r="E318">
        <v>8</v>
      </c>
      <c r="F318">
        <v>107.88</v>
      </c>
      <c r="G318">
        <v>863.04</v>
      </c>
      <c r="H318">
        <v>258.91199999999998</v>
      </c>
      <c r="I318" s="1" t="s">
        <v>19</v>
      </c>
      <c r="J318">
        <v>12</v>
      </c>
      <c r="K318" s="1" t="s">
        <v>1498</v>
      </c>
      <c r="L318">
        <v>2024</v>
      </c>
    </row>
    <row r="319" spans="1:12" x14ac:dyDescent="0.3">
      <c r="A319" s="1" t="s">
        <v>615</v>
      </c>
      <c r="B319" s="4">
        <v>45599</v>
      </c>
      <c r="C319" s="1" t="s">
        <v>173</v>
      </c>
      <c r="D319" s="1" t="s">
        <v>27</v>
      </c>
      <c r="E319">
        <v>10</v>
      </c>
      <c r="F319">
        <v>35.03</v>
      </c>
      <c r="G319">
        <v>350.3</v>
      </c>
      <c r="H319">
        <v>105.09</v>
      </c>
      <c r="I319" s="1" t="s">
        <v>15</v>
      </c>
      <c r="J319">
        <v>3</v>
      </c>
      <c r="K319" s="1" t="s">
        <v>1500</v>
      </c>
      <c r="L319">
        <v>2024</v>
      </c>
    </row>
    <row r="320" spans="1:12" x14ac:dyDescent="0.3">
      <c r="A320" s="1" t="s">
        <v>616</v>
      </c>
      <c r="B320" s="4">
        <v>45292</v>
      </c>
      <c r="C320" s="1" t="s">
        <v>617</v>
      </c>
      <c r="D320" s="1" t="s">
        <v>277</v>
      </c>
      <c r="E320">
        <v>3</v>
      </c>
      <c r="F320">
        <v>56.18</v>
      </c>
      <c r="G320">
        <v>168.54</v>
      </c>
      <c r="H320">
        <v>50.561999999999998</v>
      </c>
      <c r="I320" s="1" t="s">
        <v>11</v>
      </c>
      <c r="J320">
        <v>1</v>
      </c>
      <c r="K320" s="1" t="s">
        <v>1493</v>
      </c>
      <c r="L320">
        <v>2024</v>
      </c>
    </row>
    <row r="321" spans="1:12" x14ac:dyDescent="0.3">
      <c r="A321" s="1" t="s">
        <v>618</v>
      </c>
      <c r="B321" s="4">
        <v>45545</v>
      </c>
      <c r="C321" s="1" t="s">
        <v>401</v>
      </c>
      <c r="D321" s="1" t="s">
        <v>27</v>
      </c>
      <c r="E321">
        <v>4</v>
      </c>
      <c r="F321">
        <v>35.03</v>
      </c>
      <c r="G321">
        <v>140.12</v>
      </c>
      <c r="H321">
        <v>42.036000000000001</v>
      </c>
      <c r="I321" s="1" t="s">
        <v>36</v>
      </c>
      <c r="J321">
        <v>10</v>
      </c>
      <c r="K321" s="1" t="s">
        <v>1501</v>
      </c>
      <c r="L321">
        <v>2024</v>
      </c>
    </row>
    <row r="322" spans="1:12" x14ac:dyDescent="0.3">
      <c r="A322" s="1" t="s">
        <v>619</v>
      </c>
      <c r="B322" s="4">
        <v>45950</v>
      </c>
      <c r="C322" s="1" t="s">
        <v>401</v>
      </c>
      <c r="D322" s="1" t="s">
        <v>27</v>
      </c>
      <c r="E322">
        <v>7</v>
      </c>
      <c r="F322">
        <v>35.03</v>
      </c>
      <c r="G322">
        <v>245.21</v>
      </c>
      <c r="H322">
        <v>73.563000000000002</v>
      </c>
      <c r="I322" s="1" t="s">
        <v>11</v>
      </c>
      <c r="J322">
        <v>20</v>
      </c>
      <c r="K322" s="1" t="s">
        <v>1490</v>
      </c>
      <c r="L322">
        <v>2025</v>
      </c>
    </row>
    <row r="323" spans="1:12" x14ac:dyDescent="0.3">
      <c r="A323" s="1" t="s">
        <v>620</v>
      </c>
      <c r="B323" s="4">
        <v>45368</v>
      </c>
      <c r="C323" s="1" t="s">
        <v>621</v>
      </c>
      <c r="D323" s="1" t="s">
        <v>153</v>
      </c>
      <c r="E323">
        <v>4</v>
      </c>
      <c r="F323">
        <v>60.32</v>
      </c>
      <c r="G323">
        <v>241.28</v>
      </c>
      <c r="H323">
        <v>72.384</v>
      </c>
      <c r="I323" s="1" t="s">
        <v>36</v>
      </c>
      <c r="J323">
        <v>17</v>
      </c>
      <c r="K323" s="1" t="s">
        <v>1491</v>
      </c>
      <c r="L323">
        <v>2024</v>
      </c>
    </row>
    <row r="324" spans="1:12" x14ac:dyDescent="0.3">
      <c r="A324" s="1" t="s">
        <v>622</v>
      </c>
      <c r="B324" s="4">
        <v>45766</v>
      </c>
      <c r="C324" s="1" t="s">
        <v>171</v>
      </c>
      <c r="D324" s="1" t="s">
        <v>261</v>
      </c>
      <c r="E324">
        <v>8</v>
      </c>
      <c r="F324">
        <v>176.31</v>
      </c>
      <c r="G324">
        <v>1410.48</v>
      </c>
      <c r="H324">
        <v>423.14400000000001</v>
      </c>
      <c r="I324" s="1" t="s">
        <v>36</v>
      </c>
      <c r="J324">
        <v>19</v>
      </c>
      <c r="K324" s="1" t="s">
        <v>1496</v>
      </c>
      <c r="L324">
        <v>2025</v>
      </c>
    </row>
    <row r="325" spans="1:12" x14ac:dyDescent="0.3">
      <c r="A325" s="1" t="s">
        <v>623</v>
      </c>
      <c r="B325" s="4">
        <v>45726</v>
      </c>
      <c r="C325" s="1" t="s">
        <v>479</v>
      </c>
      <c r="D325" s="1" t="s">
        <v>153</v>
      </c>
      <c r="E325">
        <v>2</v>
      </c>
      <c r="F325">
        <v>60.32</v>
      </c>
      <c r="G325">
        <v>120.64</v>
      </c>
      <c r="H325">
        <v>36.192</v>
      </c>
      <c r="I325" s="1" t="s">
        <v>11</v>
      </c>
      <c r="J325">
        <v>10</v>
      </c>
      <c r="K325" s="1" t="s">
        <v>1491</v>
      </c>
      <c r="L325">
        <v>2025</v>
      </c>
    </row>
    <row r="326" spans="1:12" x14ac:dyDescent="0.3">
      <c r="A326" s="1" t="s">
        <v>624</v>
      </c>
      <c r="B326" s="4">
        <v>45596</v>
      </c>
      <c r="C326" s="1" t="s">
        <v>625</v>
      </c>
      <c r="D326" s="1" t="s">
        <v>244</v>
      </c>
      <c r="E326">
        <v>2</v>
      </c>
      <c r="F326">
        <v>193.35</v>
      </c>
      <c r="G326">
        <v>386.7</v>
      </c>
      <c r="H326">
        <v>116.00999999999999</v>
      </c>
      <c r="I326" s="1" t="s">
        <v>11</v>
      </c>
      <c r="J326">
        <v>31</v>
      </c>
      <c r="K326" s="1" t="s">
        <v>1490</v>
      </c>
      <c r="L326">
        <v>2024</v>
      </c>
    </row>
    <row r="327" spans="1:12" x14ac:dyDescent="0.3">
      <c r="A327" s="1" t="s">
        <v>626</v>
      </c>
      <c r="B327" s="4">
        <v>45680</v>
      </c>
      <c r="C327" s="1" t="s">
        <v>627</v>
      </c>
      <c r="D327" s="1" t="s">
        <v>24</v>
      </c>
      <c r="E327">
        <v>5</v>
      </c>
      <c r="F327">
        <v>134.32</v>
      </c>
      <c r="G327">
        <v>671.6</v>
      </c>
      <c r="H327">
        <v>201.48</v>
      </c>
      <c r="I327" s="1" t="s">
        <v>11</v>
      </c>
      <c r="J327">
        <v>23</v>
      </c>
      <c r="K327" s="1" t="s">
        <v>1493</v>
      </c>
      <c r="L327">
        <v>2025</v>
      </c>
    </row>
    <row r="328" spans="1:12" x14ac:dyDescent="0.3">
      <c r="A328" s="1" t="s">
        <v>628</v>
      </c>
      <c r="B328" s="4">
        <v>45956</v>
      </c>
      <c r="C328" s="1" t="s">
        <v>498</v>
      </c>
      <c r="D328" s="1" t="s">
        <v>27</v>
      </c>
      <c r="E328">
        <v>6</v>
      </c>
      <c r="F328">
        <v>35.03</v>
      </c>
      <c r="G328">
        <v>210.18</v>
      </c>
      <c r="H328">
        <v>63.054000000000002</v>
      </c>
      <c r="I328" s="1" t="s">
        <v>15</v>
      </c>
      <c r="J328">
        <v>26</v>
      </c>
      <c r="K328" s="1" t="s">
        <v>1490</v>
      </c>
      <c r="L328">
        <v>2025</v>
      </c>
    </row>
    <row r="329" spans="1:12" x14ac:dyDescent="0.3">
      <c r="A329" s="1" t="s">
        <v>629</v>
      </c>
      <c r="B329" s="4">
        <v>46013</v>
      </c>
      <c r="C329" s="1" t="s">
        <v>452</v>
      </c>
      <c r="D329" s="1" t="s">
        <v>27</v>
      </c>
      <c r="E329">
        <v>1</v>
      </c>
      <c r="F329">
        <v>35.03</v>
      </c>
      <c r="G329">
        <v>35.03</v>
      </c>
      <c r="H329">
        <v>10.509</v>
      </c>
      <c r="I329" s="1" t="s">
        <v>19</v>
      </c>
      <c r="J329">
        <v>22</v>
      </c>
      <c r="K329" s="1" t="s">
        <v>1495</v>
      </c>
      <c r="L329">
        <v>2025</v>
      </c>
    </row>
    <row r="330" spans="1:12" x14ac:dyDescent="0.3">
      <c r="A330" s="1" t="s">
        <v>630</v>
      </c>
      <c r="B330" s="4">
        <v>45690</v>
      </c>
      <c r="C330" s="1" t="s">
        <v>631</v>
      </c>
      <c r="D330" s="1" t="s">
        <v>10</v>
      </c>
      <c r="E330">
        <v>7</v>
      </c>
      <c r="F330">
        <v>112.61</v>
      </c>
      <c r="G330">
        <v>788.27</v>
      </c>
      <c r="H330">
        <v>236.48099999999999</v>
      </c>
      <c r="I330" s="1" t="s">
        <v>36</v>
      </c>
      <c r="J330">
        <v>2</v>
      </c>
      <c r="K330" s="1" t="s">
        <v>1494</v>
      </c>
      <c r="L330">
        <v>2025</v>
      </c>
    </row>
    <row r="331" spans="1:12" x14ac:dyDescent="0.3">
      <c r="A331" s="1" t="s">
        <v>632</v>
      </c>
      <c r="B331" s="4">
        <v>45988</v>
      </c>
      <c r="C331" s="1" t="s">
        <v>633</v>
      </c>
      <c r="D331" s="1" t="s">
        <v>72</v>
      </c>
      <c r="E331">
        <v>9</v>
      </c>
      <c r="F331">
        <v>134.61000000000001</v>
      </c>
      <c r="G331">
        <v>1211.49</v>
      </c>
      <c r="H331">
        <v>363.447</v>
      </c>
      <c r="I331" s="1" t="s">
        <v>11</v>
      </c>
      <c r="J331">
        <v>27</v>
      </c>
      <c r="K331" s="1" t="s">
        <v>1500</v>
      </c>
      <c r="L331">
        <v>2025</v>
      </c>
    </row>
    <row r="332" spans="1:12" x14ac:dyDescent="0.3">
      <c r="A332" s="1" t="s">
        <v>634</v>
      </c>
      <c r="B332" s="4">
        <v>45313</v>
      </c>
      <c r="C332" s="1" t="s">
        <v>635</v>
      </c>
      <c r="D332" s="1" t="s">
        <v>99</v>
      </c>
      <c r="E332">
        <v>9</v>
      </c>
      <c r="F332">
        <v>162.96</v>
      </c>
      <c r="G332">
        <v>1466.64</v>
      </c>
      <c r="H332">
        <v>439.99200000000002</v>
      </c>
      <c r="I332" s="1" t="s">
        <v>36</v>
      </c>
      <c r="J332">
        <v>22</v>
      </c>
      <c r="K332" s="1" t="s">
        <v>1493</v>
      </c>
      <c r="L332">
        <v>2024</v>
      </c>
    </row>
    <row r="333" spans="1:12" x14ac:dyDescent="0.3">
      <c r="A333" s="1" t="s">
        <v>636</v>
      </c>
      <c r="B333" s="4">
        <v>45570</v>
      </c>
      <c r="C333" s="1" t="s">
        <v>637</v>
      </c>
      <c r="D333" s="1" t="s">
        <v>132</v>
      </c>
      <c r="E333">
        <v>1</v>
      </c>
      <c r="F333">
        <v>52.45</v>
      </c>
      <c r="G333">
        <v>52.45</v>
      </c>
      <c r="H333">
        <v>15.734999999999999</v>
      </c>
      <c r="I333" s="1" t="s">
        <v>19</v>
      </c>
      <c r="J333">
        <v>5</v>
      </c>
      <c r="K333" s="1" t="s">
        <v>1490</v>
      </c>
      <c r="L333">
        <v>2024</v>
      </c>
    </row>
    <row r="334" spans="1:12" x14ac:dyDescent="0.3">
      <c r="A334" s="1" t="s">
        <v>638</v>
      </c>
      <c r="B334" s="4">
        <v>46011</v>
      </c>
      <c r="C334" s="1" t="s">
        <v>355</v>
      </c>
      <c r="D334" s="1" t="s">
        <v>45</v>
      </c>
      <c r="E334">
        <v>1</v>
      </c>
      <c r="F334">
        <v>24.62</v>
      </c>
      <c r="G334">
        <v>24.62</v>
      </c>
      <c r="H334">
        <v>7.3860000000000001</v>
      </c>
      <c r="I334" s="1" t="s">
        <v>36</v>
      </c>
      <c r="J334">
        <v>20</v>
      </c>
      <c r="K334" s="1" t="s">
        <v>1495</v>
      </c>
      <c r="L334">
        <v>2025</v>
      </c>
    </row>
    <row r="335" spans="1:12" x14ac:dyDescent="0.3">
      <c r="A335" s="1" t="s">
        <v>639</v>
      </c>
      <c r="B335" s="4">
        <v>45312</v>
      </c>
      <c r="C335" s="1" t="s">
        <v>640</v>
      </c>
      <c r="D335" s="1" t="s">
        <v>114</v>
      </c>
      <c r="E335">
        <v>4</v>
      </c>
      <c r="F335">
        <v>195.89</v>
      </c>
      <c r="G335">
        <v>783.56</v>
      </c>
      <c r="H335">
        <v>235.06799999999998</v>
      </c>
      <c r="I335" s="1" t="s">
        <v>15</v>
      </c>
      <c r="J335">
        <v>21</v>
      </c>
      <c r="K335" s="1" t="s">
        <v>1493</v>
      </c>
      <c r="L335">
        <v>2024</v>
      </c>
    </row>
    <row r="336" spans="1:12" x14ac:dyDescent="0.3">
      <c r="A336" s="1" t="s">
        <v>641</v>
      </c>
      <c r="B336" s="4">
        <v>45384</v>
      </c>
      <c r="C336" s="1" t="s">
        <v>59</v>
      </c>
      <c r="D336" s="1" t="s">
        <v>48</v>
      </c>
      <c r="E336">
        <v>4</v>
      </c>
      <c r="F336">
        <v>17.64</v>
      </c>
      <c r="G336">
        <v>70.56</v>
      </c>
      <c r="H336">
        <v>21.167999999999999</v>
      </c>
      <c r="I336" s="1" t="s">
        <v>15</v>
      </c>
      <c r="J336">
        <v>2</v>
      </c>
      <c r="K336" s="1" t="s">
        <v>1496</v>
      </c>
      <c r="L336">
        <v>2024</v>
      </c>
    </row>
    <row r="337" spans="1:12" x14ac:dyDescent="0.3">
      <c r="A337" s="1" t="s">
        <v>642</v>
      </c>
      <c r="B337" s="4">
        <v>45744</v>
      </c>
      <c r="C337" s="1" t="s">
        <v>312</v>
      </c>
      <c r="D337" s="1" t="s">
        <v>10</v>
      </c>
      <c r="E337">
        <v>2</v>
      </c>
      <c r="F337">
        <v>112.61</v>
      </c>
      <c r="G337">
        <v>225.22</v>
      </c>
      <c r="H337">
        <v>67.566000000000003</v>
      </c>
      <c r="I337" s="1" t="s">
        <v>11</v>
      </c>
      <c r="J337">
        <v>28</v>
      </c>
      <c r="K337" s="1" t="s">
        <v>1491</v>
      </c>
      <c r="L337">
        <v>2025</v>
      </c>
    </row>
    <row r="338" spans="1:12" x14ac:dyDescent="0.3">
      <c r="A338" s="1" t="s">
        <v>643</v>
      </c>
      <c r="B338" s="4">
        <v>45348</v>
      </c>
      <c r="C338" s="1" t="s">
        <v>644</v>
      </c>
      <c r="D338" s="1" t="s">
        <v>145</v>
      </c>
      <c r="E338">
        <v>8</v>
      </c>
      <c r="F338">
        <v>180.47</v>
      </c>
      <c r="G338">
        <v>1443.76</v>
      </c>
      <c r="H338">
        <v>433.12799999999999</v>
      </c>
      <c r="I338" s="1" t="s">
        <v>36</v>
      </c>
      <c r="J338">
        <v>26</v>
      </c>
      <c r="K338" s="1" t="s">
        <v>1494</v>
      </c>
      <c r="L338">
        <v>2024</v>
      </c>
    </row>
    <row r="339" spans="1:12" x14ac:dyDescent="0.3">
      <c r="A339" s="1" t="s">
        <v>645</v>
      </c>
      <c r="B339" s="4">
        <v>45624</v>
      </c>
      <c r="C339" s="1" t="s">
        <v>512</v>
      </c>
      <c r="D339" s="1" t="s">
        <v>42</v>
      </c>
      <c r="E339">
        <v>2</v>
      </c>
      <c r="F339">
        <v>165.9</v>
      </c>
      <c r="G339">
        <v>331.8</v>
      </c>
      <c r="H339">
        <v>99.54</v>
      </c>
      <c r="I339" s="1" t="s">
        <v>19</v>
      </c>
      <c r="J339">
        <v>28</v>
      </c>
      <c r="K339" s="1" t="s">
        <v>1500</v>
      </c>
      <c r="L339">
        <v>2024</v>
      </c>
    </row>
    <row r="340" spans="1:12" x14ac:dyDescent="0.3">
      <c r="A340" s="1" t="s">
        <v>646</v>
      </c>
      <c r="B340" s="4">
        <v>45762</v>
      </c>
      <c r="C340" s="1" t="s">
        <v>647</v>
      </c>
      <c r="D340" s="1" t="s">
        <v>193</v>
      </c>
      <c r="E340">
        <v>7</v>
      </c>
      <c r="F340">
        <v>157.13</v>
      </c>
      <c r="G340">
        <v>1099.9100000000001</v>
      </c>
      <c r="H340">
        <v>329.97300000000001</v>
      </c>
      <c r="I340" s="1" t="s">
        <v>15</v>
      </c>
      <c r="J340">
        <v>15</v>
      </c>
      <c r="K340" s="1" t="s">
        <v>1496</v>
      </c>
      <c r="L340">
        <v>2025</v>
      </c>
    </row>
    <row r="341" spans="1:12" x14ac:dyDescent="0.3">
      <c r="A341" s="1" t="s">
        <v>648</v>
      </c>
      <c r="B341" s="4">
        <v>45897</v>
      </c>
      <c r="C341" s="1" t="s">
        <v>649</v>
      </c>
      <c r="D341" s="1" t="s">
        <v>48</v>
      </c>
      <c r="E341">
        <v>3</v>
      </c>
      <c r="F341">
        <v>17.64</v>
      </c>
      <c r="G341">
        <v>52.92</v>
      </c>
      <c r="H341">
        <v>15.875999999999999</v>
      </c>
      <c r="I341" s="1" t="s">
        <v>19</v>
      </c>
      <c r="J341">
        <v>28</v>
      </c>
      <c r="K341" s="1" t="s">
        <v>1499</v>
      </c>
      <c r="L341">
        <v>2025</v>
      </c>
    </row>
    <row r="342" spans="1:12" x14ac:dyDescent="0.3">
      <c r="A342" s="1" t="s">
        <v>650</v>
      </c>
      <c r="B342" s="4">
        <v>46021</v>
      </c>
      <c r="C342" s="1" t="s">
        <v>164</v>
      </c>
      <c r="D342" s="1" t="s">
        <v>256</v>
      </c>
      <c r="E342">
        <v>1</v>
      </c>
      <c r="F342">
        <v>58.12</v>
      </c>
      <c r="G342">
        <v>58.12</v>
      </c>
      <c r="H342">
        <v>17.436</v>
      </c>
      <c r="I342" s="1" t="s">
        <v>19</v>
      </c>
      <c r="J342">
        <v>30</v>
      </c>
      <c r="K342" s="1" t="s">
        <v>1495</v>
      </c>
      <c r="L342">
        <v>2025</v>
      </c>
    </row>
    <row r="343" spans="1:12" x14ac:dyDescent="0.3">
      <c r="A343" s="1" t="s">
        <v>651</v>
      </c>
      <c r="B343" s="4">
        <v>45790</v>
      </c>
      <c r="C343" s="1" t="s">
        <v>652</v>
      </c>
      <c r="D343" s="1" t="s">
        <v>83</v>
      </c>
      <c r="E343">
        <v>5</v>
      </c>
      <c r="F343">
        <v>28.49</v>
      </c>
      <c r="G343">
        <v>142.44999999999999</v>
      </c>
      <c r="H343">
        <v>42.734999999999992</v>
      </c>
      <c r="I343" s="1" t="s">
        <v>19</v>
      </c>
      <c r="J343">
        <v>13</v>
      </c>
      <c r="K343" s="1" t="s">
        <v>1492</v>
      </c>
      <c r="L343">
        <v>2025</v>
      </c>
    </row>
    <row r="344" spans="1:12" x14ac:dyDescent="0.3">
      <c r="A344" s="1" t="s">
        <v>653</v>
      </c>
      <c r="B344" s="4">
        <v>45464</v>
      </c>
      <c r="C344" s="1" t="s">
        <v>82</v>
      </c>
      <c r="D344" s="1" t="s">
        <v>57</v>
      </c>
      <c r="E344">
        <v>7</v>
      </c>
      <c r="F344">
        <v>38.93</v>
      </c>
      <c r="G344">
        <v>272.51</v>
      </c>
      <c r="H344">
        <v>81.753</v>
      </c>
      <c r="I344" s="1" t="s">
        <v>19</v>
      </c>
      <c r="J344">
        <v>21</v>
      </c>
      <c r="K344" s="1" t="s">
        <v>1497</v>
      </c>
      <c r="L344">
        <v>2024</v>
      </c>
    </row>
    <row r="345" spans="1:12" x14ac:dyDescent="0.3">
      <c r="A345" s="1" t="s">
        <v>654</v>
      </c>
      <c r="B345" s="4">
        <v>45661</v>
      </c>
      <c r="C345" s="1" t="s">
        <v>394</v>
      </c>
      <c r="D345" s="1" t="s">
        <v>153</v>
      </c>
      <c r="E345">
        <v>9</v>
      </c>
      <c r="F345">
        <v>60.32</v>
      </c>
      <c r="G345">
        <v>542.88</v>
      </c>
      <c r="H345">
        <v>162.864</v>
      </c>
      <c r="I345" s="1" t="s">
        <v>15</v>
      </c>
      <c r="J345">
        <v>4</v>
      </c>
      <c r="K345" s="1" t="s">
        <v>1493</v>
      </c>
      <c r="L345">
        <v>2025</v>
      </c>
    </row>
    <row r="346" spans="1:12" x14ac:dyDescent="0.3">
      <c r="A346" s="1" t="s">
        <v>655</v>
      </c>
      <c r="B346" s="4">
        <v>45756</v>
      </c>
      <c r="C346" s="1" t="s">
        <v>656</v>
      </c>
      <c r="D346" s="1" t="s">
        <v>339</v>
      </c>
      <c r="E346">
        <v>6</v>
      </c>
      <c r="F346">
        <v>73.89</v>
      </c>
      <c r="G346">
        <v>443.34</v>
      </c>
      <c r="H346">
        <v>133.00199999999998</v>
      </c>
      <c r="I346" s="1" t="s">
        <v>19</v>
      </c>
      <c r="J346">
        <v>9</v>
      </c>
      <c r="K346" s="1" t="s">
        <v>1496</v>
      </c>
      <c r="L346">
        <v>2025</v>
      </c>
    </row>
    <row r="347" spans="1:12" x14ac:dyDescent="0.3">
      <c r="A347" s="1" t="s">
        <v>657</v>
      </c>
      <c r="B347" s="4">
        <v>45845</v>
      </c>
      <c r="C347" s="1" t="s">
        <v>577</v>
      </c>
      <c r="D347" s="1" t="s">
        <v>368</v>
      </c>
      <c r="E347">
        <v>3</v>
      </c>
      <c r="F347">
        <v>34.369999999999997</v>
      </c>
      <c r="G347">
        <v>103.11</v>
      </c>
      <c r="H347">
        <v>30.933</v>
      </c>
      <c r="I347" s="1" t="s">
        <v>36</v>
      </c>
      <c r="J347">
        <v>7</v>
      </c>
      <c r="K347" s="1" t="s">
        <v>1498</v>
      </c>
      <c r="L347">
        <v>2025</v>
      </c>
    </row>
    <row r="348" spans="1:12" x14ac:dyDescent="0.3">
      <c r="A348" s="1" t="s">
        <v>658</v>
      </c>
      <c r="B348" s="4">
        <v>45628</v>
      </c>
      <c r="C348" s="1" t="s">
        <v>637</v>
      </c>
      <c r="D348" s="1" t="s">
        <v>42</v>
      </c>
      <c r="E348">
        <v>5</v>
      </c>
      <c r="F348">
        <v>165.9</v>
      </c>
      <c r="G348">
        <v>829.5</v>
      </c>
      <c r="H348">
        <v>248.85</v>
      </c>
      <c r="I348" s="1" t="s">
        <v>11</v>
      </c>
      <c r="J348">
        <v>2</v>
      </c>
      <c r="K348" s="1" t="s">
        <v>1495</v>
      </c>
      <c r="L348">
        <v>2024</v>
      </c>
    </row>
    <row r="349" spans="1:12" x14ac:dyDescent="0.3">
      <c r="A349" s="1" t="s">
        <v>659</v>
      </c>
      <c r="B349" s="4">
        <v>45964</v>
      </c>
      <c r="C349" s="1" t="s">
        <v>660</v>
      </c>
      <c r="D349" s="1" t="s">
        <v>176</v>
      </c>
      <c r="E349">
        <v>8</v>
      </c>
      <c r="F349">
        <v>68.41</v>
      </c>
      <c r="G349">
        <v>547.28</v>
      </c>
      <c r="H349">
        <v>164.184</v>
      </c>
      <c r="I349" s="1" t="s">
        <v>19</v>
      </c>
      <c r="J349">
        <v>3</v>
      </c>
      <c r="K349" s="1" t="s">
        <v>1500</v>
      </c>
      <c r="L349">
        <v>2025</v>
      </c>
    </row>
    <row r="350" spans="1:12" x14ac:dyDescent="0.3">
      <c r="A350" s="1" t="s">
        <v>661</v>
      </c>
      <c r="B350" s="4">
        <v>45508</v>
      </c>
      <c r="C350" s="1" t="s">
        <v>662</v>
      </c>
      <c r="D350" s="1" t="s">
        <v>10</v>
      </c>
      <c r="E350">
        <v>7</v>
      </c>
      <c r="F350">
        <v>112.61</v>
      </c>
      <c r="G350">
        <v>788.27</v>
      </c>
      <c r="H350">
        <v>236.48099999999999</v>
      </c>
      <c r="I350" s="1" t="s">
        <v>36</v>
      </c>
      <c r="J350">
        <v>4</v>
      </c>
      <c r="K350" s="1" t="s">
        <v>1499</v>
      </c>
      <c r="L350">
        <v>2024</v>
      </c>
    </row>
    <row r="351" spans="1:12" x14ac:dyDescent="0.3">
      <c r="A351" s="1" t="s">
        <v>663</v>
      </c>
      <c r="B351" s="4">
        <v>45775</v>
      </c>
      <c r="C351" s="1" t="s">
        <v>664</v>
      </c>
      <c r="D351" s="1" t="s">
        <v>228</v>
      </c>
      <c r="E351">
        <v>1</v>
      </c>
      <c r="F351">
        <v>104.84</v>
      </c>
      <c r="G351">
        <v>104.84</v>
      </c>
      <c r="H351">
        <v>31.451999999999998</v>
      </c>
      <c r="I351" s="1" t="s">
        <v>11</v>
      </c>
      <c r="J351">
        <v>28</v>
      </c>
      <c r="K351" s="1" t="s">
        <v>1496</v>
      </c>
      <c r="L351">
        <v>2025</v>
      </c>
    </row>
    <row r="352" spans="1:12" x14ac:dyDescent="0.3">
      <c r="A352" s="1" t="s">
        <v>665</v>
      </c>
      <c r="B352" s="4">
        <v>45911</v>
      </c>
      <c r="C352" s="1" t="s">
        <v>666</v>
      </c>
      <c r="D352" s="1" t="s">
        <v>33</v>
      </c>
      <c r="E352">
        <v>5</v>
      </c>
      <c r="F352">
        <v>78.92</v>
      </c>
      <c r="G352">
        <v>394.6</v>
      </c>
      <c r="H352">
        <v>118.38</v>
      </c>
      <c r="I352" s="1" t="s">
        <v>15</v>
      </c>
      <c r="J352">
        <v>11</v>
      </c>
      <c r="K352" s="1" t="s">
        <v>1501</v>
      </c>
      <c r="L352">
        <v>2025</v>
      </c>
    </row>
    <row r="353" spans="1:12" x14ac:dyDescent="0.3">
      <c r="A353" s="1" t="s">
        <v>667</v>
      </c>
      <c r="B353" s="4">
        <v>45667</v>
      </c>
      <c r="C353" s="1" t="s">
        <v>265</v>
      </c>
      <c r="D353" s="1" t="s">
        <v>60</v>
      </c>
      <c r="E353">
        <v>10</v>
      </c>
      <c r="F353">
        <v>107.88</v>
      </c>
      <c r="G353">
        <v>1078.8</v>
      </c>
      <c r="H353">
        <v>323.64</v>
      </c>
      <c r="I353" s="1" t="s">
        <v>15</v>
      </c>
      <c r="J353">
        <v>10</v>
      </c>
      <c r="K353" s="1" t="s">
        <v>1493</v>
      </c>
      <c r="L353">
        <v>2025</v>
      </c>
    </row>
    <row r="354" spans="1:12" x14ac:dyDescent="0.3">
      <c r="A354" s="1" t="s">
        <v>668</v>
      </c>
      <c r="B354" s="4">
        <v>45621</v>
      </c>
      <c r="C354" s="1" t="s">
        <v>267</v>
      </c>
      <c r="D354" s="1" t="s">
        <v>339</v>
      </c>
      <c r="E354">
        <v>9</v>
      </c>
      <c r="F354">
        <v>73.89</v>
      </c>
      <c r="G354">
        <v>665.01</v>
      </c>
      <c r="H354">
        <v>199.50299999999999</v>
      </c>
      <c r="I354" s="1" t="s">
        <v>15</v>
      </c>
      <c r="J354">
        <v>25</v>
      </c>
      <c r="K354" s="1" t="s">
        <v>1500</v>
      </c>
      <c r="L354">
        <v>2024</v>
      </c>
    </row>
    <row r="355" spans="1:12" x14ac:dyDescent="0.3">
      <c r="A355" s="1" t="s">
        <v>669</v>
      </c>
      <c r="B355" s="4">
        <v>45651</v>
      </c>
      <c r="C355" s="1" t="s">
        <v>670</v>
      </c>
      <c r="D355" s="1" t="s">
        <v>221</v>
      </c>
      <c r="E355">
        <v>4</v>
      </c>
      <c r="F355">
        <v>108.19</v>
      </c>
      <c r="G355">
        <v>432.76</v>
      </c>
      <c r="H355">
        <v>129.828</v>
      </c>
      <c r="I355" s="1" t="s">
        <v>11</v>
      </c>
      <c r="J355">
        <v>25</v>
      </c>
      <c r="K355" s="1" t="s">
        <v>1495</v>
      </c>
      <c r="L355">
        <v>2024</v>
      </c>
    </row>
    <row r="356" spans="1:12" x14ac:dyDescent="0.3">
      <c r="A356" s="1" t="s">
        <v>671</v>
      </c>
      <c r="B356" s="4">
        <v>45621</v>
      </c>
      <c r="C356" s="1" t="s">
        <v>666</v>
      </c>
      <c r="D356" s="1" t="s">
        <v>145</v>
      </c>
      <c r="E356">
        <v>4</v>
      </c>
      <c r="F356">
        <v>180.47</v>
      </c>
      <c r="G356">
        <v>721.88</v>
      </c>
      <c r="H356">
        <v>216.56399999999999</v>
      </c>
      <c r="I356" s="1" t="s">
        <v>19</v>
      </c>
      <c r="J356">
        <v>25</v>
      </c>
      <c r="K356" s="1" t="s">
        <v>1500</v>
      </c>
      <c r="L356">
        <v>2024</v>
      </c>
    </row>
    <row r="357" spans="1:12" x14ac:dyDescent="0.3">
      <c r="A357" s="1" t="s">
        <v>672</v>
      </c>
      <c r="B357" s="4">
        <v>45967</v>
      </c>
      <c r="C357" s="1" t="s">
        <v>673</v>
      </c>
      <c r="D357" s="1" t="s">
        <v>156</v>
      </c>
      <c r="E357">
        <v>1</v>
      </c>
      <c r="F357">
        <v>182.55</v>
      </c>
      <c r="G357">
        <v>182.55</v>
      </c>
      <c r="H357">
        <v>54.765000000000001</v>
      </c>
      <c r="I357" s="1" t="s">
        <v>11</v>
      </c>
      <c r="J357">
        <v>6</v>
      </c>
      <c r="K357" s="1" t="s">
        <v>1500</v>
      </c>
      <c r="L357">
        <v>2025</v>
      </c>
    </row>
    <row r="358" spans="1:12" x14ac:dyDescent="0.3">
      <c r="A358" s="1" t="s">
        <v>674</v>
      </c>
      <c r="B358" s="4">
        <v>46002</v>
      </c>
      <c r="C358" s="1" t="s">
        <v>675</v>
      </c>
      <c r="D358" s="1" t="s">
        <v>327</v>
      </c>
      <c r="E358">
        <v>1</v>
      </c>
      <c r="F358">
        <v>89.24</v>
      </c>
      <c r="G358">
        <v>89.24</v>
      </c>
      <c r="H358">
        <v>26.771999999999998</v>
      </c>
      <c r="I358" s="1" t="s">
        <v>36</v>
      </c>
      <c r="J358">
        <v>11</v>
      </c>
      <c r="K358" s="1" t="s">
        <v>1495</v>
      </c>
      <c r="L358">
        <v>2025</v>
      </c>
    </row>
    <row r="359" spans="1:12" x14ac:dyDescent="0.3">
      <c r="A359" s="1" t="s">
        <v>676</v>
      </c>
      <c r="B359" s="4">
        <v>45768</v>
      </c>
      <c r="C359" s="1" t="s">
        <v>488</v>
      </c>
      <c r="D359" s="1" t="s">
        <v>239</v>
      </c>
      <c r="E359">
        <v>3</v>
      </c>
      <c r="F359">
        <v>103.45</v>
      </c>
      <c r="G359">
        <v>310.35000000000002</v>
      </c>
      <c r="H359">
        <v>93.105000000000004</v>
      </c>
      <c r="I359" s="1" t="s">
        <v>15</v>
      </c>
      <c r="J359">
        <v>21</v>
      </c>
      <c r="K359" s="1" t="s">
        <v>1496</v>
      </c>
      <c r="L359">
        <v>2025</v>
      </c>
    </row>
    <row r="360" spans="1:12" x14ac:dyDescent="0.3">
      <c r="A360" s="1" t="s">
        <v>677</v>
      </c>
      <c r="B360" s="4">
        <v>45469</v>
      </c>
      <c r="C360" s="1" t="s">
        <v>526</v>
      </c>
      <c r="D360" s="1" t="s">
        <v>75</v>
      </c>
      <c r="E360">
        <v>7</v>
      </c>
      <c r="F360">
        <v>49.95</v>
      </c>
      <c r="G360">
        <v>349.65</v>
      </c>
      <c r="H360">
        <v>104.895</v>
      </c>
      <c r="I360" s="1" t="s">
        <v>36</v>
      </c>
      <c r="J360">
        <v>26</v>
      </c>
      <c r="K360" s="1" t="s">
        <v>1497</v>
      </c>
      <c r="L360">
        <v>2024</v>
      </c>
    </row>
    <row r="361" spans="1:12" x14ac:dyDescent="0.3">
      <c r="A361" s="1" t="s">
        <v>678</v>
      </c>
      <c r="B361" s="4">
        <v>45394</v>
      </c>
      <c r="C361" s="1" t="s">
        <v>679</v>
      </c>
      <c r="D361" s="1" t="s">
        <v>102</v>
      </c>
      <c r="E361">
        <v>7</v>
      </c>
      <c r="F361">
        <v>41.45</v>
      </c>
      <c r="G361">
        <v>290.14999999999998</v>
      </c>
      <c r="H361">
        <v>87.044999999999987</v>
      </c>
      <c r="I361" s="1" t="s">
        <v>36</v>
      </c>
      <c r="J361">
        <v>12</v>
      </c>
      <c r="K361" s="1" t="s">
        <v>1496</v>
      </c>
      <c r="L361">
        <v>2024</v>
      </c>
    </row>
    <row r="362" spans="1:12" x14ac:dyDescent="0.3">
      <c r="A362" s="1" t="s">
        <v>680</v>
      </c>
      <c r="B362" s="4">
        <v>46021</v>
      </c>
      <c r="C362" s="1" t="s">
        <v>528</v>
      </c>
      <c r="D362" s="1" t="s">
        <v>256</v>
      </c>
      <c r="E362">
        <v>5</v>
      </c>
      <c r="F362">
        <v>58.12</v>
      </c>
      <c r="G362">
        <v>290.60000000000002</v>
      </c>
      <c r="H362">
        <v>87.18</v>
      </c>
      <c r="I362" s="1" t="s">
        <v>19</v>
      </c>
      <c r="J362">
        <v>30</v>
      </c>
      <c r="K362" s="1" t="s">
        <v>1495</v>
      </c>
      <c r="L362">
        <v>2025</v>
      </c>
    </row>
    <row r="363" spans="1:12" x14ac:dyDescent="0.3">
      <c r="A363" s="1" t="s">
        <v>681</v>
      </c>
      <c r="B363" s="4">
        <v>45674</v>
      </c>
      <c r="C363" s="1" t="s">
        <v>682</v>
      </c>
      <c r="D363" s="1" t="s">
        <v>332</v>
      </c>
      <c r="E363">
        <v>2</v>
      </c>
      <c r="F363">
        <v>115.1</v>
      </c>
      <c r="G363">
        <v>230.2</v>
      </c>
      <c r="H363">
        <v>69.059999999999988</v>
      </c>
      <c r="I363" s="1" t="s">
        <v>11</v>
      </c>
      <c r="J363">
        <v>17</v>
      </c>
      <c r="K363" s="1" t="s">
        <v>1493</v>
      </c>
      <c r="L363">
        <v>2025</v>
      </c>
    </row>
    <row r="364" spans="1:12" x14ac:dyDescent="0.3">
      <c r="A364" s="1" t="s">
        <v>683</v>
      </c>
      <c r="B364" s="4">
        <v>45411</v>
      </c>
      <c r="C364" s="1" t="s">
        <v>684</v>
      </c>
      <c r="D364" s="1" t="s">
        <v>83</v>
      </c>
      <c r="E364">
        <v>7</v>
      </c>
      <c r="F364">
        <v>28.49</v>
      </c>
      <c r="G364">
        <v>199.43</v>
      </c>
      <c r="H364">
        <v>59.829000000000001</v>
      </c>
      <c r="I364" s="1" t="s">
        <v>19</v>
      </c>
      <c r="J364">
        <v>29</v>
      </c>
      <c r="K364" s="1" t="s">
        <v>1496</v>
      </c>
      <c r="L364">
        <v>2024</v>
      </c>
    </row>
    <row r="365" spans="1:12" x14ac:dyDescent="0.3">
      <c r="A365" s="1" t="s">
        <v>685</v>
      </c>
      <c r="B365" s="4">
        <v>45837</v>
      </c>
      <c r="C365" s="1" t="s">
        <v>686</v>
      </c>
      <c r="D365" s="1" t="s">
        <v>42</v>
      </c>
      <c r="E365">
        <v>8</v>
      </c>
      <c r="F365">
        <v>165.9</v>
      </c>
      <c r="G365">
        <v>1327.2</v>
      </c>
      <c r="H365">
        <v>398.16</v>
      </c>
      <c r="I365" s="1" t="s">
        <v>11</v>
      </c>
      <c r="J365">
        <v>29</v>
      </c>
      <c r="K365" s="1" t="s">
        <v>1497</v>
      </c>
      <c r="L365">
        <v>2025</v>
      </c>
    </row>
    <row r="366" spans="1:12" x14ac:dyDescent="0.3">
      <c r="A366" s="1" t="s">
        <v>687</v>
      </c>
      <c r="B366" s="4">
        <v>45875</v>
      </c>
      <c r="C366" s="1" t="s">
        <v>188</v>
      </c>
      <c r="D366" s="1" t="s">
        <v>114</v>
      </c>
      <c r="E366">
        <v>10</v>
      </c>
      <c r="F366">
        <v>195.89</v>
      </c>
      <c r="G366">
        <v>1958.9</v>
      </c>
      <c r="H366">
        <v>587.66999999999996</v>
      </c>
      <c r="I366" s="1" t="s">
        <v>15</v>
      </c>
      <c r="J366">
        <v>6</v>
      </c>
      <c r="K366" s="1" t="s">
        <v>1499</v>
      </c>
      <c r="L366">
        <v>2025</v>
      </c>
    </row>
    <row r="367" spans="1:12" x14ac:dyDescent="0.3">
      <c r="A367" s="1" t="s">
        <v>688</v>
      </c>
      <c r="B367" s="4">
        <v>45446</v>
      </c>
      <c r="C367" s="1" t="s">
        <v>689</v>
      </c>
      <c r="D367" s="1" t="s">
        <v>246</v>
      </c>
      <c r="E367">
        <v>1</v>
      </c>
      <c r="F367">
        <v>17.22</v>
      </c>
      <c r="G367">
        <v>17.22</v>
      </c>
      <c r="H367">
        <v>5.1659999999999995</v>
      </c>
      <c r="I367" s="1" t="s">
        <v>36</v>
      </c>
      <c r="J367">
        <v>3</v>
      </c>
      <c r="K367" s="1" t="s">
        <v>1497</v>
      </c>
      <c r="L367">
        <v>2024</v>
      </c>
    </row>
    <row r="368" spans="1:12" x14ac:dyDescent="0.3">
      <c r="A368" s="1" t="s">
        <v>690</v>
      </c>
      <c r="B368" s="4">
        <v>45986</v>
      </c>
      <c r="C368" s="1" t="s">
        <v>691</v>
      </c>
      <c r="D368" s="1" t="s">
        <v>228</v>
      </c>
      <c r="E368">
        <v>1</v>
      </c>
      <c r="F368">
        <v>104.84</v>
      </c>
      <c r="G368">
        <v>104.84</v>
      </c>
      <c r="H368">
        <v>31.451999999999998</v>
      </c>
      <c r="I368" s="1" t="s">
        <v>19</v>
      </c>
      <c r="J368">
        <v>25</v>
      </c>
      <c r="K368" s="1" t="s">
        <v>1500</v>
      </c>
      <c r="L368">
        <v>2025</v>
      </c>
    </row>
    <row r="369" spans="1:12" x14ac:dyDescent="0.3">
      <c r="A369" s="1" t="s">
        <v>692</v>
      </c>
      <c r="B369" s="4">
        <v>45617</v>
      </c>
      <c r="C369" s="1" t="s">
        <v>79</v>
      </c>
      <c r="D369" s="1" t="s">
        <v>246</v>
      </c>
      <c r="E369">
        <v>10</v>
      </c>
      <c r="F369">
        <v>17.22</v>
      </c>
      <c r="G369">
        <v>172.2</v>
      </c>
      <c r="H369">
        <v>51.66</v>
      </c>
      <c r="I369" s="1" t="s">
        <v>11</v>
      </c>
      <c r="J369">
        <v>21</v>
      </c>
      <c r="K369" s="1" t="s">
        <v>1500</v>
      </c>
      <c r="L369">
        <v>2024</v>
      </c>
    </row>
    <row r="370" spans="1:12" x14ac:dyDescent="0.3">
      <c r="A370" s="1" t="s">
        <v>693</v>
      </c>
      <c r="B370" s="4">
        <v>45328</v>
      </c>
      <c r="C370" s="1" t="s">
        <v>694</v>
      </c>
      <c r="D370" s="1" t="s">
        <v>72</v>
      </c>
      <c r="E370">
        <v>5</v>
      </c>
      <c r="F370">
        <v>134.61000000000001</v>
      </c>
      <c r="G370">
        <v>673.05</v>
      </c>
      <c r="H370">
        <v>201.91499999999999</v>
      </c>
      <c r="I370" s="1" t="s">
        <v>19</v>
      </c>
      <c r="J370">
        <v>6</v>
      </c>
      <c r="K370" s="1" t="s">
        <v>1494</v>
      </c>
      <c r="L370">
        <v>2024</v>
      </c>
    </row>
    <row r="371" spans="1:12" x14ac:dyDescent="0.3">
      <c r="A371" s="1" t="s">
        <v>695</v>
      </c>
      <c r="B371" s="4">
        <v>45399</v>
      </c>
      <c r="C371" s="1" t="s">
        <v>464</v>
      </c>
      <c r="D371" s="1" t="s">
        <v>246</v>
      </c>
      <c r="E371">
        <v>2</v>
      </c>
      <c r="F371">
        <v>17.22</v>
      </c>
      <c r="G371">
        <v>34.44</v>
      </c>
      <c r="H371">
        <v>10.331999999999999</v>
      </c>
      <c r="I371" s="1" t="s">
        <v>11</v>
      </c>
      <c r="J371">
        <v>17</v>
      </c>
      <c r="K371" s="1" t="s">
        <v>1496</v>
      </c>
      <c r="L371">
        <v>2024</v>
      </c>
    </row>
    <row r="372" spans="1:12" x14ac:dyDescent="0.3">
      <c r="A372" s="1" t="s">
        <v>696</v>
      </c>
      <c r="B372" s="4">
        <v>45414</v>
      </c>
      <c r="C372" s="1" t="s">
        <v>490</v>
      </c>
      <c r="D372" s="1" t="s">
        <v>183</v>
      </c>
      <c r="E372">
        <v>9</v>
      </c>
      <c r="F372">
        <v>12.47</v>
      </c>
      <c r="G372">
        <v>112.23</v>
      </c>
      <c r="H372">
        <v>33.668999999999997</v>
      </c>
      <c r="I372" s="1" t="s">
        <v>36</v>
      </c>
      <c r="J372">
        <v>2</v>
      </c>
      <c r="K372" s="1" t="s">
        <v>1492</v>
      </c>
      <c r="L372">
        <v>2024</v>
      </c>
    </row>
    <row r="373" spans="1:12" x14ac:dyDescent="0.3">
      <c r="A373" s="1" t="s">
        <v>697</v>
      </c>
      <c r="B373" s="4">
        <v>45727</v>
      </c>
      <c r="C373" s="1" t="s">
        <v>675</v>
      </c>
      <c r="D373" s="1" t="s">
        <v>156</v>
      </c>
      <c r="E373">
        <v>10</v>
      </c>
      <c r="F373">
        <v>182.55</v>
      </c>
      <c r="G373">
        <v>1825.5</v>
      </c>
      <c r="H373">
        <v>547.65</v>
      </c>
      <c r="I373" s="1" t="s">
        <v>15</v>
      </c>
      <c r="J373">
        <v>11</v>
      </c>
      <c r="K373" s="1" t="s">
        <v>1491</v>
      </c>
      <c r="L373">
        <v>2025</v>
      </c>
    </row>
    <row r="374" spans="1:12" x14ac:dyDescent="0.3">
      <c r="A374" s="1" t="s">
        <v>698</v>
      </c>
      <c r="B374" s="4">
        <v>45497</v>
      </c>
      <c r="C374" s="1" t="s">
        <v>577</v>
      </c>
      <c r="D374" s="1" t="s">
        <v>165</v>
      </c>
      <c r="E374">
        <v>8</v>
      </c>
      <c r="F374">
        <v>29.47</v>
      </c>
      <c r="G374">
        <v>235.76</v>
      </c>
      <c r="H374">
        <v>70.727999999999994</v>
      </c>
      <c r="I374" s="1" t="s">
        <v>19</v>
      </c>
      <c r="J374">
        <v>24</v>
      </c>
      <c r="K374" s="1" t="s">
        <v>1498</v>
      </c>
      <c r="L374">
        <v>2024</v>
      </c>
    </row>
    <row r="375" spans="1:12" x14ac:dyDescent="0.3">
      <c r="A375" s="1" t="s">
        <v>699</v>
      </c>
      <c r="B375" s="4">
        <v>45313</v>
      </c>
      <c r="C375" s="1" t="s">
        <v>700</v>
      </c>
      <c r="D375" s="1" t="s">
        <v>165</v>
      </c>
      <c r="E375">
        <v>4</v>
      </c>
      <c r="F375">
        <v>29.47</v>
      </c>
      <c r="G375">
        <v>117.88</v>
      </c>
      <c r="H375">
        <v>35.363999999999997</v>
      </c>
      <c r="I375" s="1" t="s">
        <v>11</v>
      </c>
      <c r="J375">
        <v>22</v>
      </c>
      <c r="K375" s="1" t="s">
        <v>1493</v>
      </c>
      <c r="L375">
        <v>2024</v>
      </c>
    </row>
    <row r="376" spans="1:12" x14ac:dyDescent="0.3">
      <c r="A376" s="1" t="s">
        <v>701</v>
      </c>
      <c r="B376" s="4">
        <v>45874</v>
      </c>
      <c r="C376" s="1" t="s">
        <v>702</v>
      </c>
      <c r="D376" s="1" t="s">
        <v>176</v>
      </c>
      <c r="E376">
        <v>6</v>
      </c>
      <c r="F376">
        <v>68.41</v>
      </c>
      <c r="G376">
        <v>410.46</v>
      </c>
      <c r="H376">
        <v>123.13799999999999</v>
      </c>
      <c r="I376" s="1" t="s">
        <v>15</v>
      </c>
      <c r="J376">
        <v>5</v>
      </c>
      <c r="K376" s="1" t="s">
        <v>1499</v>
      </c>
      <c r="L376">
        <v>2025</v>
      </c>
    </row>
    <row r="377" spans="1:12" x14ac:dyDescent="0.3">
      <c r="A377" s="1" t="s">
        <v>703</v>
      </c>
      <c r="B377" s="4">
        <v>45746</v>
      </c>
      <c r="C377" s="1" t="s">
        <v>445</v>
      </c>
      <c r="D377" s="1" t="s">
        <v>102</v>
      </c>
      <c r="E377">
        <v>9</v>
      </c>
      <c r="F377">
        <v>41.45</v>
      </c>
      <c r="G377">
        <v>373.05</v>
      </c>
      <c r="H377">
        <v>111.91500000000001</v>
      </c>
      <c r="I377" s="1" t="s">
        <v>11</v>
      </c>
      <c r="J377">
        <v>30</v>
      </c>
      <c r="K377" s="1" t="s">
        <v>1491</v>
      </c>
      <c r="L377">
        <v>2025</v>
      </c>
    </row>
    <row r="378" spans="1:12" x14ac:dyDescent="0.3">
      <c r="A378" s="1" t="s">
        <v>704</v>
      </c>
      <c r="B378" s="4">
        <v>45503</v>
      </c>
      <c r="C378" s="1" t="s">
        <v>705</v>
      </c>
      <c r="D378" s="1" t="s">
        <v>221</v>
      </c>
      <c r="E378">
        <v>6</v>
      </c>
      <c r="F378">
        <v>108.19</v>
      </c>
      <c r="G378">
        <v>649.14</v>
      </c>
      <c r="H378">
        <v>194.74199999999999</v>
      </c>
      <c r="I378" s="1" t="s">
        <v>19</v>
      </c>
      <c r="J378">
        <v>30</v>
      </c>
      <c r="K378" s="1" t="s">
        <v>1498</v>
      </c>
      <c r="L378">
        <v>2024</v>
      </c>
    </row>
    <row r="379" spans="1:12" x14ac:dyDescent="0.3">
      <c r="A379" s="1" t="s">
        <v>706</v>
      </c>
      <c r="B379" s="4">
        <v>45681</v>
      </c>
      <c r="C379" s="1" t="s">
        <v>707</v>
      </c>
      <c r="D379" s="1" t="s">
        <v>193</v>
      </c>
      <c r="E379">
        <v>3</v>
      </c>
      <c r="F379">
        <v>157.13</v>
      </c>
      <c r="G379">
        <v>471.39</v>
      </c>
      <c r="H379">
        <v>141.417</v>
      </c>
      <c r="I379" s="1" t="s">
        <v>36</v>
      </c>
      <c r="J379">
        <v>24</v>
      </c>
      <c r="K379" s="1" t="s">
        <v>1493</v>
      </c>
      <c r="L379">
        <v>2025</v>
      </c>
    </row>
    <row r="380" spans="1:12" x14ac:dyDescent="0.3">
      <c r="A380" s="1" t="s">
        <v>708</v>
      </c>
      <c r="B380" s="4">
        <v>45396</v>
      </c>
      <c r="C380" s="1" t="s">
        <v>612</v>
      </c>
      <c r="D380" s="1" t="s">
        <v>102</v>
      </c>
      <c r="E380">
        <v>6</v>
      </c>
      <c r="F380">
        <v>41.45</v>
      </c>
      <c r="G380">
        <v>248.7</v>
      </c>
      <c r="H380">
        <v>74.61</v>
      </c>
      <c r="I380" s="1" t="s">
        <v>11</v>
      </c>
      <c r="J380">
        <v>14</v>
      </c>
      <c r="K380" s="1" t="s">
        <v>1496</v>
      </c>
      <c r="L380">
        <v>2024</v>
      </c>
    </row>
    <row r="381" spans="1:12" x14ac:dyDescent="0.3">
      <c r="A381" s="1" t="s">
        <v>709</v>
      </c>
      <c r="B381" s="4">
        <v>45544</v>
      </c>
      <c r="C381" s="1" t="s">
        <v>673</v>
      </c>
      <c r="D381" s="1" t="s">
        <v>239</v>
      </c>
      <c r="E381">
        <v>6</v>
      </c>
      <c r="F381">
        <v>103.45</v>
      </c>
      <c r="G381">
        <v>620.70000000000005</v>
      </c>
      <c r="H381">
        <v>186.21</v>
      </c>
      <c r="I381" s="1" t="s">
        <v>11</v>
      </c>
      <c r="J381">
        <v>9</v>
      </c>
      <c r="K381" s="1" t="s">
        <v>1501</v>
      </c>
      <c r="L381">
        <v>2024</v>
      </c>
    </row>
    <row r="382" spans="1:12" x14ac:dyDescent="0.3">
      <c r="A382" s="1" t="s">
        <v>710</v>
      </c>
      <c r="B382" s="4">
        <v>45840</v>
      </c>
      <c r="C382" s="1" t="s">
        <v>711</v>
      </c>
      <c r="D382" s="1" t="s">
        <v>45</v>
      </c>
      <c r="E382">
        <v>10</v>
      </c>
      <c r="F382">
        <v>24.62</v>
      </c>
      <c r="G382">
        <v>246.2</v>
      </c>
      <c r="H382">
        <v>73.86</v>
      </c>
      <c r="I382" s="1" t="s">
        <v>11</v>
      </c>
      <c r="J382">
        <v>2</v>
      </c>
      <c r="K382" s="1" t="s">
        <v>1498</v>
      </c>
      <c r="L382">
        <v>2025</v>
      </c>
    </row>
    <row r="383" spans="1:12" x14ac:dyDescent="0.3">
      <c r="A383" s="1" t="s">
        <v>712</v>
      </c>
      <c r="B383" s="4">
        <v>45893</v>
      </c>
      <c r="C383" s="1" t="s">
        <v>713</v>
      </c>
      <c r="D383" s="1" t="s">
        <v>368</v>
      </c>
      <c r="E383">
        <v>2</v>
      </c>
      <c r="F383">
        <v>34.369999999999997</v>
      </c>
      <c r="G383">
        <v>68.739999999999995</v>
      </c>
      <c r="H383">
        <v>20.621999999999996</v>
      </c>
      <c r="I383" s="1" t="s">
        <v>36</v>
      </c>
      <c r="J383">
        <v>24</v>
      </c>
      <c r="K383" s="1" t="s">
        <v>1499</v>
      </c>
      <c r="L383">
        <v>2025</v>
      </c>
    </row>
    <row r="384" spans="1:12" x14ac:dyDescent="0.3">
      <c r="A384" s="1" t="s">
        <v>714</v>
      </c>
      <c r="B384" s="4">
        <v>46017</v>
      </c>
      <c r="C384" s="1" t="s">
        <v>715</v>
      </c>
      <c r="D384" s="1" t="s">
        <v>145</v>
      </c>
      <c r="E384">
        <v>2</v>
      </c>
      <c r="F384">
        <v>180.47</v>
      </c>
      <c r="G384">
        <v>360.94</v>
      </c>
      <c r="H384">
        <v>108.282</v>
      </c>
      <c r="I384" s="1" t="s">
        <v>36</v>
      </c>
      <c r="J384">
        <v>26</v>
      </c>
      <c r="K384" s="1" t="s">
        <v>1495</v>
      </c>
      <c r="L384">
        <v>2025</v>
      </c>
    </row>
    <row r="385" spans="1:12" x14ac:dyDescent="0.3">
      <c r="A385" s="1" t="s">
        <v>716</v>
      </c>
      <c r="B385" s="4">
        <v>45699</v>
      </c>
      <c r="C385" s="1" t="s">
        <v>717</v>
      </c>
      <c r="D385" s="1" t="s">
        <v>201</v>
      </c>
      <c r="E385">
        <v>10</v>
      </c>
      <c r="F385">
        <v>53.74</v>
      </c>
      <c r="G385">
        <v>537.4</v>
      </c>
      <c r="H385">
        <v>161.22</v>
      </c>
      <c r="I385" s="1" t="s">
        <v>11</v>
      </c>
      <c r="J385">
        <v>11</v>
      </c>
      <c r="K385" s="1" t="s">
        <v>1494</v>
      </c>
      <c r="L385">
        <v>2025</v>
      </c>
    </row>
    <row r="386" spans="1:12" x14ac:dyDescent="0.3">
      <c r="A386" s="1" t="s">
        <v>718</v>
      </c>
      <c r="B386" s="4">
        <v>45398</v>
      </c>
      <c r="C386" s="1" t="s">
        <v>719</v>
      </c>
      <c r="D386" s="1" t="s">
        <v>332</v>
      </c>
      <c r="E386">
        <v>10</v>
      </c>
      <c r="F386">
        <v>115.1</v>
      </c>
      <c r="G386">
        <v>1151</v>
      </c>
      <c r="H386">
        <v>345.3</v>
      </c>
      <c r="I386" s="1" t="s">
        <v>11</v>
      </c>
      <c r="J386">
        <v>16</v>
      </c>
      <c r="K386" s="1" t="s">
        <v>1496</v>
      </c>
      <c r="L386">
        <v>2024</v>
      </c>
    </row>
    <row r="387" spans="1:12" x14ac:dyDescent="0.3">
      <c r="A387" s="1" t="s">
        <v>720</v>
      </c>
      <c r="B387" s="4">
        <v>45748</v>
      </c>
      <c r="C387" s="1" t="s">
        <v>552</v>
      </c>
      <c r="D387" s="1" t="s">
        <v>14</v>
      </c>
      <c r="E387">
        <v>1</v>
      </c>
      <c r="F387">
        <v>86.37</v>
      </c>
      <c r="G387">
        <v>86.37</v>
      </c>
      <c r="H387">
        <v>25.911000000000001</v>
      </c>
      <c r="I387" s="1" t="s">
        <v>15</v>
      </c>
      <c r="J387">
        <v>1</v>
      </c>
      <c r="K387" s="1" t="s">
        <v>1496</v>
      </c>
      <c r="L387">
        <v>2025</v>
      </c>
    </row>
    <row r="388" spans="1:12" x14ac:dyDescent="0.3">
      <c r="A388" s="1" t="s">
        <v>721</v>
      </c>
      <c r="B388" s="4">
        <v>45928</v>
      </c>
      <c r="C388" s="1" t="s">
        <v>558</v>
      </c>
      <c r="D388" s="1" t="s">
        <v>148</v>
      </c>
      <c r="E388">
        <v>1</v>
      </c>
      <c r="F388">
        <v>118.95</v>
      </c>
      <c r="G388">
        <v>118.95</v>
      </c>
      <c r="H388">
        <v>35.685000000000002</v>
      </c>
      <c r="I388" s="1" t="s">
        <v>15</v>
      </c>
      <c r="J388">
        <v>28</v>
      </c>
      <c r="K388" s="1" t="s">
        <v>1501</v>
      </c>
      <c r="L388">
        <v>2025</v>
      </c>
    </row>
    <row r="389" spans="1:12" x14ac:dyDescent="0.3">
      <c r="A389" s="1" t="s">
        <v>722</v>
      </c>
      <c r="B389" s="4">
        <v>45337</v>
      </c>
      <c r="C389" s="1" t="s">
        <v>539</v>
      </c>
      <c r="D389" s="1" t="s">
        <v>39</v>
      </c>
      <c r="E389">
        <v>3</v>
      </c>
      <c r="F389">
        <v>18.850000000000001</v>
      </c>
      <c r="G389">
        <v>56.55</v>
      </c>
      <c r="H389">
        <v>16.965</v>
      </c>
      <c r="I389" s="1" t="s">
        <v>15</v>
      </c>
      <c r="J389">
        <v>15</v>
      </c>
      <c r="K389" s="1" t="s">
        <v>1494</v>
      </c>
      <c r="L389">
        <v>2024</v>
      </c>
    </row>
    <row r="390" spans="1:12" x14ac:dyDescent="0.3">
      <c r="A390" s="1" t="s">
        <v>723</v>
      </c>
      <c r="B390" s="4">
        <v>45770</v>
      </c>
      <c r="C390" s="1" t="s">
        <v>564</v>
      </c>
      <c r="D390" s="1" t="s">
        <v>33</v>
      </c>
      <c r="E390">
        <v>10</v>
      </c>
      <c r="F390">
        <v>78.92</v>
      </c>
      <c r="G390">
        <v>789.2</v>
      </c>
      <c r="H390">
        <v>236.76</v>
      </c>
      <c r="I390" s="1" t="s">
        <v>15</v>
      </c>
      <c r="J390">
        <v>23</v>
      </c>
      <c r="K390" s="1" t="s">
        <v>1496</v>
      </c>
      <c r="L390">
        <v>2025</v>
      </c>
    </row>
    <row r="391" spans="1:12" x14ac:dyDescent="0.3">
      <c r="A391" s="1" t="s">
        <v>724</v>
      </c>
      <c r="B391" s="4">
        <v>45438</v>
      </c>
      <c r="C391" s="1" t="s">
        <v>725</v>
      </c>
      <c r="D391" s="1" t="s">
        <v>193</v>
      </c>
      <c r="E391">
        <v>1</v>
      </c>
      <c r="F391">
        <v>157.13</v>
      </c>
      <c r="G391">
        <v>157.13</v>
      </c>
      <c r="H391">
        <v>47.138999999999996</v>
      </c>
      <c r="I391" s="1" t="s">
        <v>36</v>
      </c>
      <c r="J391">
        <v>26</v>
      </c>
      <c r="K391" s="1" t="s">
        <v>1492</v>
      </c>
      <c r="L391">
        <v>2024</v>
      </c>
    </row>
    <row r="392" spans="1:12" x14ac:dyDescent="0.3">
      <c r="A392" s="1" t="s">
        <v>726</v>
      </c>
      <c r="B392" s="4">
        <v>45329</v>
      </c>
      <c r="C392" s="1" t="s">
        <v>727</v>
      </c>
      <c r="D392" s="1" t="s">
        <v>80</v>
      </c>
      <c r="E392">
        <v>5</v>
      </c>
      <c r="F392">
        <v>48.76</v>
      </c>
      <c r="G392">
        <v>243.8</v>
      </c>
      <c r="H392">
        <v>73.14</v>
      </c>
      <c r="I392" s="1" t="s">
        <v>19</v>
      </c>
      <c r="J392">
        <v>7</v>
      </c>
      <c r="K392" s="1" t="s">
        <v>1494</v>
      </c>
      <c r="L392">
        <v>2024</v>
      </c>
    </row>
    <row r="393" spans="1:12" x14ac:dyDescent="0.3">
      <c r="A393" s="1" t="s">
        <v>728</v>
      </c>
      <c r="B393" s="4">
        <v>45658</v>
      </c>
      <c r="C393" s="1" t="s">
        <v>640</v>
      </c>
      <c r="D393" s="1" t="s">
        <v>123</v>
      </c>
      <c r="E393">
        <v>1</v>
      </c>
      <c r="F393">
        <v>20.28</v>
      </c>
      <c r="G393">
        <v>20.28</v>
      </c>
      <c r="H393">
        <v>6.0840000000000005</v>
      </c>
      <c r="I393" s="1" t="s">
        <v>11</v>
      </c>
      <c r="J393">
        <v>1</v>
      </c>
      <c r="K393" s="1" t="s">
        <v>1493</v>
      </c>
      <c r="L393">
        <v>2025</v>
      </c>
    </row>
    <row r="394" spans="1:12" x14ac:dyDescent="0.3">
      <c r="A394" s="1" t="s">
        <v>729</v>
      </c>
      <c r="B394" s="4">
        <v>46010</v>
      </c>
      <c r="C394" s="1" t="s">
        <v>730</v>
      </c>
      <c r="D394" s="1" t="s">
        <v>33</v>
      </c>
      <c r="E394">
        <v>8</v>
      </c>
      <c r="F394">
        <v>78.92</v>
      </c>
      <c r="G394">
        <v>631.36</v>
      </c>
      <c r="H394">
        <v>189.40799999999999</v>
      </c>
      <c r="I394" s="1" t="s">
        <v>11</v>
      </c>
      <c r="J394">
        <v>19</v>
      </c>
      <c r="K394" s="1" t="s">
        <v>1495</v>
      </c>
      <c r="L394">
        <v>2025</v>
      </c>
    </row>
    <row r="395" spans="1:12" x14ac:dyDescent="0.3">
      <c r="A395" s="1" t="s">
        <v>731</v>
      </c>
      <c r="B395" s="4">
        <v>45790</v>
      </c>
      <c r="C395" s="1" t="s">
        <v>664</v>
      </c>
      <c r="D395" s="1" t="s">
        <v>145</v>
      </c>
      <c r="E395">
        <v>5</v>
      </c>
      <c r="F395">
        <v>180.47</v>
      </c>
      <c r="G395">
        <v>902.35</v>
      </c>
      <c r="H395">
        <v>270.70499999999998</v>
      </c>
      <c r="I395" s="1" t="s">
        <v>15</v>
      </c>
      <c r="J395">
        <v>13</v>
      </c>
      <c r="K395" s="1" t="s">
        <v>1492</v>
      </c>
      <c r="L395">
        <v>2025</v>
      </c>
    </row>
    <row r="396" spans="1:12" x14ac:dyDescent="0.3">
      <c r="A396" s="1" t="s">
        <v>732</v>
      </c>
      <c r="B396" s="4">
        <v>45812</v>
      </c>
      <c r="C396" s="1" t="s">
        <v>113</v>
      </c>
      <c r="D396" s="1" t="s">
        <v>111</v>
      </c>
      <c r="E396">
        <v>7</v>
      </c>
      <c r="F396">
        <v>91.3</v>
      </c>
      <c r="G396">
        <v>639.1</v>
      </c>
      <c r="H396">
        <v>191.73</v>
      </c>
      <c r="I396" s="1" t="s">
        <v>36</v>
      </c>
      <c r="J396">
        <v>4</v>
      </c>
      <c r="K396" s="1" t="s">
        <v>1497</v>
      </c>
      <c r="L396">
        <v>2025</v>
      </c>
    </row>
    <row r="397" spans="1:12" x14ac:dyDescent="0.3">
      <c r="A397" s="1" t="s">
        <v>733</v>
      </c>
      <c r="B397" s="4">
        <v>45679</v>
      </c>
      <c r="C397" s="1" t="s">
        <v>734</v>
      </c>
      <c r="D397" s="1" t="s">
        <v>277</v>
      </c>
      <c r="E397">
        <v>7</v>
      </c>
      <c r="F397">
        <v>56.18</v>
      </c>
      <c r="G397">
        <v>393.26</v>
      </c>
      <c r="H397">
        <v>117.97799999999999</v>
      </c>
      <c r="I397" s="1" t="s">
        <v>11</v>
      </c>
      <c r="J397">
        <v>22</v>
      </c>
      <c r="K397" s="1" t="s">
        <v>1493</v>
      </c>
      <c r="L397">
        <v>2025</v>
      </c>
    </row>
    <row r="398" spans="1:12" x14ac:dyDescent="0.3">
      <c r="A398" s="1" t="s">
        <v>735</v>
      </c>
      <c r="B398" s="4">
        <v>45891</v>
      </c>
      <c r="C398" s="1" t="s">
        <v>144</v>
      </c>
      <c r="D398" s="1" t="s">
        <v>153</v>
      </c>
      <c r="E398">
        <v>8</v>
      </c>
      <c r="F398">
        <v>60.32</v>
      </c>
      <c r="G398">
        <v>482.56</v>
      </c>
      <c r="H398">
        <v>144.768</v>
      </c>
      <c r="I398" s="1" t="s">
        <v>36</v>
      </c>
      <c r="J398">
        <v>22</v>
      </c>
      <c r="K398" s="1" t="s">
        <v>1499</v>
      </c>
      <c r="L398">
        <v>2025</v>
      </c>
    </row>
    <row r="399" spans="1:12" x14ac:dyDescent="0.3">
      <c r="A399" s="1" t="s">
        <v>736</v>
      </c>
      <c r="B399" s="4">
        <v>45589</v>
      </c>
      <c r="C399" s="1" t="s">
        <v>392</v>
      </c>
      <c r="D399" s="1" t="s">
        <v>99</v>
      </c>
      <c r="E399">
        <v>9</v>
      </c>
      <c r="F399">
        <v>162.96</v>
      </c>
      <c r="G399">
        <v>1466.64</v>
      </c>
      <c r="H399">
        <v>439.99200000000002</v>
      </c>
      <c r="I399" s="1" t="s">
        <v>36</v>
      </c>
      <c r="J399">
        <v>24</v>
      </c>
      <c r="K399" s="1" t="s">
        <v>1490</v>
      </c>
      <c r="L399">
        <v>2024</v>
      </c>
    </row>
    <row r="400" spans="1:12" x14ac:dyDescent="0.3">
      <c r="A400" s="1" t="s">
        <v>737</v>
      </c>
      <c r="B400" s="4">
        <v>45852</v>
      </c>
      <c r="C400" s="1" t="s">
        <v>579</v>
      </c>
      <c r="D400" s="1" t="s">
        <v>80</v>
      </c>
      <c r="E400">
        <v>9</v>
      </c>
      <c r="F400">
        <v>48.76</v>
      </c>
      <c r="G400">
        <v>438.84</v>
      </c>
      <c r="H400">
        <v>131.65199999999999</v>
      </c>
      <c r="I400" s="1" t="s">
        <v>36</v>
      </c>
      <c r="J400">
        <v>14</v>
      </c>
      <c r="K400" s="1" t="s">
        <v>1498</v>
      </c>
      <c r="L400">
        <v>2025</v>
      </c>
    </row>
    <row r="401" spans="1:12" x14ac:dyDescent="0.3">
      <c r="A401" s="1" t="s">
        <v>738</v>
      </c>
      <c r="B401" s="4">
        <v>45504</v>
      </c>
      <c r="C401" s="1" t="s">
        <v>288</v>
      </c>
      <c r="D401" s="1" t="s">
        <v>80</v>
      </c>
      <c r="E401">
        <v>10</v>
      </c>
      <c r="F401">
        <v>48.76</v>
      </c>
      <c r="G401">
        <v>487.6</v>
      </c>
      <c r="H401">
        <v>146.28</v>
      </c>
      <c r="I401" s="1" t="s">
        <v>36</v>
      </c>
      <c r="J401">
        <v>31</v>
      </c>
      <c r="K401" s="1" t="s">
        <v>1498</v>
      </c>
      <c r="L401">
        <v>2024</v>
      </c>
    </row>
    <row r="402" spans="1:12" x14ac:dyDescent="0.3">
      <c r="A402" s="1" t="s">
        <v>739</v>
      </c>
      <c r="B402" s="4">
        <v>45292</v>
      </c>
      <c r="C402" s="1" t="s">
        <v>560</v>
      </c>
      <c r="D402" s="1" t="s">
        <v>27</v>
      </c>
      <c r="E402">
        <v>7</v>
      </c>
      <c r="F402">
        <v>35.03</v>
      </c>
      <c r="G402">
        <v>245.21</v>
      </c>
      <c r="H402">
        <v>73.563000000000002</v>
      </c>
      <c r="I402" s="1" t="s">
        <v>11</v>
      </c>
      <c r="J402">
        <v>1</v>
      </c>
      <c r="K402" s="1" t="s">
        <v>1493</v>
      </c>
      <c r="L402">
        <v>2024</v>
      </c>
    </row>
    <row r="403" spans="1:12" x14ac:dyDescent="0.3">
      <c r="A403" s="1" t="s">
        <v>740</v>
      </c>
      <c r="B403" s="4">
        <v>45370</v>
      </c>
      <c r="C403" s="1" t="s">
        <v>470</v>
      </c>
      <c r="D403" s="1" t="s">
        <v>88</v>
      </c>
      <c r="E403">
        <v>7</v>
      </c>
      <c r="F403">
        <v>162.21</v>
      </c>
      <c r="G403">
        <v>1135.47</v>
      </c>
      <c r="H403">
        <v>340.64100000000002</v>
      </c>
      <c r="I403" s="1" t="s">
        <v>11</v>
      </c>
      <c r="J403">
        <v>19</v>
      </c>
      <c r="K403" s="1" t="s">
        <v>1491</v>
      </c>
      <c r="L403">
        <v>2024</v>
      </c>
    </row>
    <row r="404" spans="1:12" x14ac:dyDescent="0.3">
      <c r="A404" s="1" t="s">
        <v>741</v>
      </c>
      <c r="B404" s="4">
        <v>45979</v>
      </c>
      <c r="C404" s="1" t="s">
        <v>466</v>
      </c>
      <c r="D404" s="1" t="s">
        <v>33</v>
      </c>
      <c r="E404">
        <v>4</v>
      </c>
      <c r="F404">
        <v>78.92</v>
      </c>
      <c r="G404">
        <v>315.68</v>
      </c>
      <c r="H404">
        <v>94.703999999999994</v>
      </c>
      <c r="I404" s="1" t="s">
        <v>36</v>
      </c>
      <c r="J404">
        <v>18</v>
      </c>
      <c r="K404" s="1" t="s">
        <v>1500</v>
      </c>
      <c r="L404">
        <v>2025</v>
      </c>
    </row>
    <row r="405" spans="1:12" x14ac:dyDescent="0.3">
      <c r="A405" s="1" t="s">
        <v>742</v>
      </c>
      <c r="B405" s="4">
        <v>45960</v>
      </c>
      <c r="C405" s="1" t="s">
        <v>579</v>
      </c>
      <c r="D405" s="1" t="s">
        <v>261</v>
      </c>
      <c r="E405">
        <v>3</v>
      </c>
      <c r="F405">
        <v>176.31</v>
      </c>
      <c r="G405">
        <v>528.92999999999995</v>
      </c>
      <c r="H405">
        <v>158.67899999999997</v>
      </c>
      <c r="I405" s="1" t="s">
        <v>15</v>
      </c>
      <c r="J405">
        <v>30</v>
      </c>
      <c r="K405" s="1" t="s">
        <v>1490</v>
      </c>
      <c r="L405">
        <v>2025</v>
      </c>
    </row>
    <row r="406" spans="1:12" x14ac:dyDescent="0.3">
      <c r="A406" s="1" t="s">
        <v>743</v>
      </c>
      <c r="B406" s="4">
        <v>45733</v>
      </c>
      <c r="C406" s="1" t="s">
        <v>744</v>
      </c>
      <c r="D406" s="1" t="s">
        <v>102</v>
      </c>
      <c r="E406">
        <v>5</v>
      </c>
      <c r="F406">
        <v>41.45</v>
      </c>
      <c r="G406">
        <v>207.25</v>
      </c>
      <c r="H406">
        <v>62.174999999999997</v>
      </c>
      <c r="I406" s="1" t="s">
        <v>11</v>
      </c>
      <c r="J406">
        <v>17</v>
      </c>
      <c r="K406" s="1" t="s">
        <v>1491</v>
      </c>
      <c r="L406">
        <v>2025</v>
      </c>
    </row>
    <row r="407" spans="1:12" x14ac:dyDescent="0.3">
      <c r="A407" s="1" t="s">
        <v>745</v>
      </c>
      <c r="B407" s="4">
        <v>45957</v>
      </c>
      <c r="C407" s="1" t="s">
        <v>746</v>
      </c>
      <c r="D407" s="1" t="s">
        <v>151</v>
      </c>
      <c r="E407">
        <v>10</v>
      </c>
      <c r="F407">
        <v>89.88</v>
      </c>
      <c r="G407">
        <v>898.8</v>
      </c>
      <c r="H407">
        <v>269.64</v>
      </c>
      <c r="I407" s="1" t="s">
        <v>11</v>
      </c>
      <c r="J407">
        <v>27</v>
      </c>
      <c r="K407" s="1" t="s">
        <v>1490</v>
      </c>
      <c r="L407">
        <v>2025</v>
      </c>
    </row>
    <row r="408" spans="1:12" x14ac:dyDescent="0.3">
      <c r="A408" s="1" t="s">
        <v>747</v>
      </c>
      <c r="B408" s="4">
        <v>45793</v>
      </c>
      <c r="C408" s="1" t="s">
        <v>633</v>
      </c>
      <c r="D408" s="1" t="s">
        <v>327</v>
      </c>
      <c r="E408">
        <v>4</v>
      </c>
      <c r="F408">
        <v>89.24</v>
      </c>
      <c r="G408">
        <v>356.96</v>
      </c>
      <c r="H408">
        <v>107.08799999999999</v>
      </c>
      <c r="I408" s="1" t="s">
        <v>11</v>
      </c>
      <c r="J408">
        <v>16</v>
      </c>
      <c r="K408" s="1" t="s">
        <v>1492</v>
      </c>
      <c r="L408">
        <v>2025</v>
      </c>
    </row>
    <row r="409" spans="1:12" x14ac:dyDescent="0.3">
      <c r="A409" s="1" t="s">
        <v>748</v>
      </c>
      <c r="B409" s="4">
        <v>45740</v>
      </c>
      <c r="C409" s="1" t="s">
        <v>749</v>
      </c>
      <c r="D409" s="1" t="s">
        <v>72</v>
      </c>
      <c r="E409">
        <v>7</v>
      </c>
      <c r="F409">
        <v>134.61000000000001</v>
      </c>
      <c r="G409">
        <v>942.27</v>
      </c>
      <c r="H409">
        <v>282.68099999999998</v>
      </c>
      <c r="I409" s="1" t="s">
        <v>19</v>
      </c>
      <c r="J409">
        <v>24</v>
      </c>
      <c r="K409" s="1" t="s">
        <v>1491</v>
      </c>
      <c r="L409">
        <v>2025</v>
      </c>
    </row>
    <row r="410" spans="1:12" x14ac:dyDescent="0.3">
      <c r="A410" s="1" t="s">
        <v>750</v>
      </c>
      <c r="B410" s="4">
        <v>45893</v>
      </c>
      <c r="C410" s="1" t="s">
        <v>751</v>
      </c>
      <c r="D410" s="1" t="s">
        <v>67</v>
      </c>
      <c r="E410">
        <v>5</v>
      </c>
      <c r="F410">
        <v>29.94</v>
      </c>
      <c r="G410">
        <v>149.69999999999999</v>
      </c>
      <c r="H410">
        <v>44.91</v>
      </c>
      <c r="I410" s="1" t="s">
        <v>11</v>
      </c>
      <c r="J410">
        <v>24</v>
      </c>
      <c r="K410" s="1" t="s">
        <v>1499</v>
      </c>
      <c r="L410">
        <v>2025</v>
      </c>
    </row>
    <row r="411" spans="1:12" x14ac:dyDescent="0.3">
      <c r="A411" s="1" t="s">
        <v>752</v>
      </c>
      <c r="B411" s="4">
        <v>46017</v>
      </c>
      <c r="C411" s="1" t="s">
        <v>753</v>
      </c>
      <c r="D411" s="1" t="s">
        <v>51</v>
      </c>
      <c r="E411">
        <v>5</v>
      </c>
      <c r="F411">
        <v>64.62</v>
      </c>
      <c r="G411">
        <v>323.10000000000002</v>
      </c>
      <c r="H411">
        <v>96.93</v>
      </c>
      <c r="I411" s="1" t="s">
        <v>19</v>
      </c>
      <c r="J411">
        <v>26</v>
      </c>
      <c r="K411" s="1" t="s">
        <v>1495</v>
      </c>
      <c r="L411">
        <v>2025</v>
      </c>
    </row>
    <row r="412" spans="1:12" x14ac:dyDescent="0.3">
      <c r="A412" s="1" t="s">
        <v>754</v>
      </c>
      <c r="B412" s="4">
        <v>45331</v>
      </c>
      <c r="C412" s="1" t="s">
        <v>47</v>
      </c>
      <c r="D412" s="1" t="s">
        <v>10</v>
      </c>
      <c r="E412">
        <v>4</v>
      </c>
      <c r="F412">
        <v>112.61</v>
      </c>
      <c r="G412">
        <v>450.44</v>
      </c>
      <c r="H412">
        <v>135.13200000000001</v>
      </c>
      <c r="I412" s="1" t="s">
        <v>15</v>
      </c>
      <c r="J412">
        <v>9</v>
      </c>
      <c r="K412" s="1" t="s">
        <v>1494</v>
      </c>
      <c r="L412">
        <v>2024</v>
      </c>
    </row>
    <row r="413" spans="1:12" x14ac:dyDescent="0.3">
      <c r="A413" s="1" t="s">
        <v>755</v>
      </c>
      <c r="B413" s="4">
        <v>45377</v>
      </c>
      <c r="C413" s="1" t="s">
        <v>756</v>
      </c>
      <c r="D413" s="1" t="s">
        <v>153</v>
      </c>
      <c r="E413">
        <v>4</v>
      </c>
      <c r="F413">
        <v>60.32</v>
      </c>
      <c r="G413">
        <v>241.28</v>
      </c>
      <c r="H413">
        <v>72.384</v>
      </c>
      <c r="I413" s="1" t="s">
        <v>11</v>
      </c>
      <c r="J413">
        <v>26</v>
      </c>
      <c r="K413" s="1" t="s">
        <v>1491</v>
      </c>
      <c r="L413">
        <v>2024</v>
      </c>
    </row>
    <row r="414" spans="1:12" x14ac:dyDescent="0.3">
      <c r="A414" s="1" t="s">
        <v>757</v>
      </c>
      <c r="B414" s="4">
        <v>45863</v>
      </c>
      <c r="C414" s="1" t="s">
        <v>758</v>
      </c>
      <c r="D414" s="1" t="s">
        <v>339</v>
      </c>
      <c r="E414">
        <v>3</v>
      </c>
      <c r="F414">
        <v>73.89</v>
      </c>
      <c r="G414">
        <v>221.67</v>
      </c>
      <c r="H414">
        <v>66.500999999999991</v>
      </c>
      <c r="I414" s="1" t="s">
        <v>19</v>
      </c>
      <c r="J414">
        <v>25</v>
      </c>
      <c r="K414" s="1" t="s">
        <v>1498</v>
      </c>
      <c r="L414">
        <v>2025</v>
      </c>
    </row>
    <row r="415" spans="1:12" x14ac:dyDescent="0.3">
      <c r="A415" s="1" t="s">
        <v>759</v>
      </c>
      <c r="B415" s="4">
        <v>45779</v>
      </c>
      <c r="C415" s="1" t="s">
        <v>760</v>
      </c>
      <c r="D415" s="1" t="s">
        <v>88</v>
      </c>
      <c r="E415">
        <v>5</v>
      </c>
      <c r="F415">
        <v>162.21</v>
      </c>
      <c r="G415">
        <v>811.05</v>
      </c>
      <c r="H415">
        <v>243.31499999999997</v>
      </c>
      <c r="I415" s="1" t="s">
        <v>15</v>
      </c>
      <c r="J415">
        <v>2</v>
      </c>
      <c r="K415" s="1" t="s">
        <v>1492</v>
      </c>
      <c r="L415">
        <v>2025</v>
      </c>
    </row>
    <row r="416" spans="1:12" x14ac:dyDescent="0.3">
      <c r="A416" s="1" t="s">
        <v>761</v>
      </c>
      <c r="B416" s="4">
        <v>45318</v>
      </c>
      <c r="C416" s="1" t="s">
        <v>137</v>
      </c>
      <c r="D416" s="1" t="s">
        <v>201</v>
      </c>
      <c r="E416">
        <v>4</v>
      </c>
      <c r="F416">
        <v>53.74</v>
      </c>
      <c r="G416">
        <v>214.96</v>
      </c>
      <c r="H416">
        <v>64.488</v>
      </c>
      <c r="I416" s="1" t="s">
        <v>36</v>
      </c>
      <c r="J416">
        <v>27</v>
      </c>
      <c r="K416" s="1" t="s">
        <v>1493</v>
      </c>
      <c r="L416">
        <v>2024</v>
      </c>
    </row>
    <row r="417" spans="1:12" x14ac:dyDescent="0.3">
      <c r="A417" s="1" t="s">
        <v>762</v>
      </c>
      <c r="B417" s="4">
        <v>45588</v>
      </c>
      <c r="C417" s="1" t="s">
        <v>763</v>
      </c>
      <c r="D417" s="1" t="s">
        <v>132</v>
      </c>
      <c r="E417">
        <v>1</v>
      </c>
      <c r="F417">
        <v>52.45</v>
      </c>
      <c r="G417">
        <v>52.45</v>
      </c>
      <c r="H417">
        <v>15.734999999999999</v>
      </c>
      <c r="I417" s="1" t="s">
        <v>15</v>
      </c>
      <c r="J417">
        <v>23</v>
      </c>
      <c r="K417" s="1" t="s">
        <v>1490</v>
      </c>
      <c r="L417">
        <v>2024</v>
      </c>
    </row>
    <row r="418" spans="1:12" x14ac:dyDescent="0.3">
      <c r="A418" s="1" t="s">
        <v>764</v>
      </c>
      <c r="B418" s="4">
        <v>45652</v>
      </c>
      <c r="C418" s="1" t="s">
        <v>429</v>
      </c>
      <c r="D418" s="1" t="s">
        <v>183</v>
      </c>
      <c r="E418">
        <v>4</v>
      </c>
      <c r="F418">
        <v>12.47</v>
      </c>
      <c r="G418">
        <v>49.88</v>
      </c>
      <c r="H418">
        <v>14.964</v>
      </c>
      <c r="I418" s="1" t="s">
        <v>19</v>
      </c>
      <c r="J418">
        <v>26</v>
      </c>
      <c r="K418" s="1" t="s">
        <v>1495</v>
      </c>
      <c r="L418">
        <v>2024</v>
      </c>
    </row>
    <row r="419" spans="1:12" x14ac:dyDescent="0.3">
      <c r="A419" s="1" t="s">
        <v>765</v>
      </c>
      <c r="B419" s="4">
        <v>45711</v>
      </c>
      <c r="C419" s="1" t="s">
        <v>707</v>
      </c>
      <c r="D419" s="1" t="s">
        <v>221</v>
      </c>
      <c r="E419">
        <v>10</v>
      </c>
      <c r="F419">
        <v>108.19</v>
      </c>
      <c r="G419">
        <v>1081.9000000000001</v>
      </c>
      <c r="H419">
        <v>324.57</v>
      </c>
      <c r="I419" s="1" t="s">
        <v>36</v>
      </c>
      <c r="J419">
        <v>23</v>
      </c>
      <c r="K419" s="1" t="s">
        <v>1494</v>
      </c>
      <c r="L419">
        <v>2025</v>
      </c>
    </row>
    <row r="420" spans="1:12" x14ac:dyDescent="0.3">
      <c r="A420" s="1" t="s">
        <v>766</v>
      </c>
      <c r="B420" s="4">
        <v>45413</v>
      </c>
      <c r="C420" s="1" t="s">
        <v>767</v>
      </c>
      <c r="D420" s="1" t="s">
        <v>99</v>
      </c>
      <c r="E420">
        <v>10</v>
      </c>
      <c r="F420">
        <v>162.96</v>
      </c>
      <c r="G420">
        <v>1629.6</v>
      </c>
      <c r="H420">
        <v>488.87999999999994</v>
      </c>
      <c r="I420" s="1" t="s">
        <v>15</v>
      </c>
      <c r="J420">
        <v>1</v>
      </c>
      <c r="K420" s="1" t="s">
        <v>1492</v>
      </c>
      <c r="L420">
        <v>2024</v>
      </c>
    </row>
    <row r="421" spans="1:12" x14ac:dyDescent="0.3">
      <c r="A421" s="1" t="s">
        <v>768</v>
      </c>
      <c r="B421" s="4">
        <v>45857</v>
      </c>
      <c r="C421" s="1" t="s">
        <v>769</v>
      </c>
      <c r="D421" s="1" t="s">
        <v>201</v>
      </c>
      <c r="E421">
        <v>1</v>
      </c>
      <c r="F421">
        <v>53.74</v>
      </c>
      <c r="G421">
        <v>53.74</v>
      </c>
      <c r="H421">
        <v>16.122</v>
      </c>
      <c r="I421" s="1" t="s">
        <v>19</v>
      </c>
      <c r="J421">
        <v>19</v>
      </c>
      <c r="K421" s="1" t="s">
        <v>1498</v>
      </c>
      <c r="L421">
        <v>2025</v>
      </c>
    </row>
    <row r="422" spans="1:12" x14ac:dyDescent="0.3">
      <c r="A422" s="1" t="s">
        <v>770</v>
      </c>
      <c r="B422" s="4">
        <v>45573</v>
      </c>
      <c r="C422" s="1" t="s">
        <v>312</v>
      </c>
      <c r="D422" s="1" t="s">
        <v>339</v>
      </c>
      <c r="E422">
        <v>3</v>
      </c>
      <c r="F422">
        <v>73.89</v>
      </c>
      <c r="G422">
        <v>221.67</v>
      </c>
      <c r="H422">
        <v>66.500999999999991</v>
      </c>
      <c r="I422" s="1" t="s">
        <v>11</v>
      </c>
      <c r="J422">
        <v>8</v>
      </c>
      <c r="K422" s="1" t="s">
        <v>1490</v>
      </c>
      <c r="L422">
        <v>2024</v>
      </c>
    </row>
    <row r="423" spans="1:12" x14ac:dyDescent="0.3">
      <c r="A423" s="1" t="s">
        <v>771</v>
      </c>
      <c r="B423" s="4">
        <v>45653</v>
      </c>
      <c r="C423" s="1" t="s">
        <v>267</v>
      </c>
      <c r="D423" s="1" t="s">
        <v>332</v>
      </c>
      <c r="E423">
        <v>6</v>
      </c>
      <c r="F423">
        <v>115.1</v>
      </c>
      <c r="G423">
        <v>690.6</v>
      </c>
      <c r="H423">
        <v>207.18</v>
      </c>
      <c r="I423" s="1" t="s">
        <v>11</v>
      </c>
      <c r="J423">
        <v>27</v>
      </c>
      <c r="K423" s="1" t="s">
        <v>1495</v>
      </c>
      <c r="L423">
        <v>2024</v>
      </c>
    </row>
    <row r="424" spans="1:12" x14ac:dyDescent="0.3">
      <c r="A424" s="1" t="s">
        <v>772</v>
      </c>
      <c r="B424" s="4">
        <v>45788</v>
      </c>
      <c r="C424" s="1" t="s">
        <v>627</v>
      </c>
      <c r="D424" s="1" t="s">
        <v>148</v>
      </c>
      <c r="E424">
        <v>1</v>
      </c>
      <c r="F424">
        <v>118.95</v>
      </c>
      <c r="G424">
        <v>118.95</v>
      </c>
      <c r="H424">
        <v>35.685000000000002</v>
      </c>
      <c r="I424" s="1" t="s">
        <v>36</v>
      </c>
      <c r="J424">
        <v>11</v>
      </c>
      <c r="K424" s="1" t="s">
        <v>1492</v>
      </c>
      <c r="L424">
        <v>2025</v>
      </c>
    </row>
    <row r="425" spans="1:12" x14ac:dyDescent="0.3">
      <c r="A425" s="1" t="s">
        <v>773</v>
      </c>
      <c r="B425" s="4">
        <v>45999</v>
      </c>
      <c r="C425" s="1" t="s">
        <v>774</v>
      </c>
      <c r="D425" s="1" t="s">
        <v>54</v>
      </c>
      <c r="E425">
        <v>8</v>
      </c>
      <c r="F425">
        <v>28.55</v>
      </c>
      <c r="G425">
        <v>228.4</v>
      </c>
      <c r="H425">
        <v>68.52</v>
      </c>
      <c r="I425" s="1" t="s">
        <v>15</v>
      </c>
      <c r="J425">
        <v>8</v>
      </c>
      <c r="K425" s="1" t="s">
        <v>1495</v>
      </c>
      <c r="L425">
        <v>2025</v>
      </c>
    </row>
    <row r="426" spans="1:12" x14ac:dyDescent="0.3">
      <c r="A426" s="1" t="s">
        <v>775</v>
      </c>
      <c r="B426" s="4">
        <v>45896</v>
      </c>
      <c r="C426" s="1" t="s">
        <v>591</v>
      </c>
      <c r="D426" s="1" t="s">
        <v>183</v>
      </c>
      <c r="E426">
        <v>7</v>
      </c>
      <c r="F426">
        <v>12.47</v>
      </c>
      <c r="G426">
        <v>87.29</v>
      </c>
      <c r="H426">
        <v>26.187000000000001</v>
      </c>
      <c r="I426" s="1" t="s">
        <v>15</v>
      </c>
      <c r="J426">
        <v>27</v>
      </c>
      <c r="K426" s="1" t="s">
        <v>1499</v>
      </c>
      <c r="L426">
        <v>2025</v>
      </c>
    </row>
    <row r="427" spans="1:12" x14ac:dyDescent="0.3">
      <c r="A427" s="1" t="s">
        <v>776</v>
      </c>
      <c r="B427" s="4">
        <v>45899</v>
      </c>
      <c r="C427" s="1" t="s">
        <v>727</v>
      </c>
      <c r="D427" s="1" t="s">
        <v>51</v>
      </c>
      <c r="E427">
        <v>3</v>
      </c>
      <c r="F427">
        <v>64.62</v>
      </c>
      <c r="G427">
        <v>193.86</v>
      </c>
      <c r="H427">
        <v>58.158000000000001</v>
      </c>
      <c r="I427" s="1" t="s">
        <v>19</v>
      </c>
      <c r="J427">
        <v>30</v>
      </c>
      <c r="K427" s="1" t="s">
        <v>1499</v>
      </c>
      <c r="L427">
        <v>2025</v>
      </c>
    </row>
    <row r="428" spans="1:12" x14ac:dyDescent="0.3">
      <c r="A428" s="1" t="s">
        <v>777</v>
      </c>
      <c r="B428" s="4">
        <v>45473</v>
      </c>
      <c r="C428" s="1" t="s">
        <v>285</v>
      </c>
      <c r="D428" s="1" t="s">
        <v>123</v>
      </c>
      <c r="E428">
        <v>7</v>
      </c>
      <c r="F428">
        <v>20.28</v>
      </c>
      <c r="G428">
        <v>141.96</v>
      </c>
      <c r="H428">
        <v>42.588000000000001</v>
      </c>
      <c r="I428" s="1" t="s">
        <v>15</v>
      </c>
      <c r="J428">
        <v>30</v>
      </c>
      <c r="K428" s="1" t="s">
        <v>1497</v>
      </c>
      <c r="L428">
        <v>2024</v>
      </c>
    </row>
    <row r="429" spans="1:12" x14ac:dyDescent="0.3">
      <c r="A429" s="1" t="s">
        <v>778</v>
      </c>
      <c r="B429" s="4">
        <v>46015</v>
      </c>
      <c r="C429" s="1" t="s">
        <v>779</v>
      </c>
      <c r="D429" s="1" t="s">
        <v>261</v>
      </c>
      <c r="E429">
        <v>1</v>
      </c>
      <c r="F429">
        <v>176.31</v>
      </c>
      <c r="G429">
        <v>176.31</v>
      </c>
      <c r="H429">
        <v>52.893000000000001</v>
      </c>
      <c r="I429" s="1" t="s">
        <v>11</v>
      </c>
      <c r="J429">
        <v>24</v>
      </c>
      <c r="K429" s="1" t="s">
        <v>1495</v>
      </c>
      <c r="L429">
        <v>2025</v>
      </c>
    </row>
    <row r="430" spans="1:12" x14ac:dyDescent="0.3">
      <c r="A430" s="1" t="s">
        <v>780</v>
      </c>
      <c r="B430" s="4">
        <v>45751</v>
      </c>
      <c r="C430" s="1" t="s">
        <v>686</v>
      </c>
      <c r="D430" s="1" t="s">
        <v>151</v>
      </c>
      <c r="E430">
        <v>5</v>
      </c>
      <c r="F430">
        <v>89.88</v>
      </c>
      <c r="G430">
        <v>449.4</v>
      </c>
      <c r="H430">
        <v>134.82</v>
      </c>
      <c r="I430" s="1" t="s">
        <v>36</v>
      </c>
      <c r="J430">
        <v>4</v>
      </c>
      <c r="K430" s="1" t="s">
        <v>1496</v>
      </c>
      <c r="L430">
        <v>2025</v>
      </c>
    </row>
    <row r="431" spans="1:12" x14ac:dyDescent="0.3">
      <c r="A431" s="1" t="s">
        <v>781</v>
      </c>
      <c r="B431" s="4">
        <v>45320</v>
      </c>
      <c r="C431" s="1" t="s">
        <v>29</v>
      </c>
      <c r="D431" s="1" t="s">
        <v>83</v>
      </c>
      <c r="E431">
        <v>10</v>
      </c>
      <c r="F431">
        <v>28.49</v>
      </c>
      <c r="G431">
        <v>284.89999999999998</v>
      </c>
      <c r="H431">
        <v>85.469999999999985</v>
      </c>
      <c r="I431" s="1" t="s">
        <v>11</v>
      </c>
      <c r="J431">
        <v>29</v>
      </c>
      <c r="K431" s="1" t="s">
        <v>1493</v>
      </c>
      <c r="L431">
        <v>2024</v>
      </c>
    </row>
    <row r="432" spans="1:12" x14ac:dyDescent="0.3">
      <c r="A432" s="1" t="s">
        <v>782</v>
      </c>
      <c r="B432" s="4">
        <v>45873</v>
      </c>
      <c r="C432" s="1" t="s">
        <v>783</v>
      </c>
      <c r="D432" s="1" t="s">
        <v>132</v>
      </c>
      <c r="E432">
        <v>10</v>
      </c>
      <c r="F432">
        <v>52.45</v>
      </c>
      <c r="G432">
        <v>524.5</v>
      </c>
      <c r="H432">
        <v>157.35</v>
      </c>
      <c r="I432" s="1" t="s">
        <v>36</v>
      </c>
      <c r="J432">
        <v>4</v>
      </c>
      <c r="K432" s="1" t="s">
        <v>1499</v>
      </c>
      <c r="L432">
        <v>2025</v>
      </c>
    </row>
    <row r="433" spans="1:12" x14ac:dyDescent="0.3">
      <c r="A433" s="1" t="s">
        <v>784</v>
      </c>
      <c r="B433" s="4">
        <v>45570</v>
      </c>
      <c r="C433" s="1" t="s">
        <v>169</v>
      </c>
      <c r="D433" s="1" t="s">
        <v>57</v>
      </c>
      <c r="E433">
        <v>5</v>
      </c>
      <c r="F433">
        <v>38.93</v>
      </c>
      <c r="G433">
        <v>194.65</v>
      </c>
      <c r="H433">
        <v>58.394999999999996</v>
      </c>
      <c r="I433" s="1" t="s">
        <v>11</v>
      </c>
      <c r="J433">
        <v>5</v>
      </c>
      <c r="K433" s="1" t="s">
        <v>1490</v>
      </c>
      <c r="L433">
        <v>2024</v>
      </c>
    </row>
    <row r="434" spans="1:12" x14ac:dyDescent="0.3">
      <c r="A434" s="1" t="s">
        <v>785</v>
      </c>
      <c r="B434" s="4">
        <v>45364</v>
      </c>
      <c r="C434" s="1" t="s">
        <v>786</v>
      </c>
      <c r="D434" s="1" t="s">
        <v>10</v>
      </c>
      <c r="E434">
        <v>9</v>
      </c>
      <c r="F434">
        <v>112.61</v>
      </c>
      <c r="G434">
        <v>1013.49</v>
      </c>
      <c r="H434">
        <v>304.04699999999997</v>
      </c>
      <c r="I434" s="1" t="s">
        <v>15</v>
      </c>
      <c r="J434">
        <v>13</v>
      </c>
      <c r="K434" s="1" t="s">
        <v>1491</v>
      </c>
      <c r="L434">
        <v>2024</v>
      </c>
    </row>
    <row r="435" spans="1:12" x14ac:dyDescent="0.3">
      <c r="A435" s="1" t="s">
        <v>787</v>
      </c>
      <c r="B435" s="4">
        <v>45545</v>
      </c>
      <c r="C435" s="1" t="s">
        <v>788</v>
      </c>
      <c r="D435" s="1" t="s">
        <v>145</v>
      </c>
      <c r="E435">
        <v>5</v>
      </c>
      <c r="F435">
        <v>180.47</v>
      </c>
      <c r="G435">
        <v>902.35</v>
      </c>
      <c r="H435">
        <v>270.70499999999998</v>
      </c>
      <c r="I435" s="1" t="s">
        <v>11</v>
      </c>
      <c r="J435">
        <v>10</v>
      </c>
      <c r="K435" s="1" t="s">
        <v>1501</v>
      </c>
      <c r="L435">
        <v>2024</v>
      </c>
    </row>
    <row r="436" spans="1:12" x14ac:dyDescent="0.3">
      <c r="A436" s="1" t="s">
        <v>789</v>
      </c>
      <c r="B436" s="4">
        <v>45599</v>
      </c>
      <c r="C436" s="1" t="s">
        <v>790</v>
      </c>
      <c r="D436" s="1" t="s">
        <v>60</v>
      </c>
      <c r="E436">
        <v>7</v>
      </c>
      <c r="F436">
        <v>107.88</v>
      </c>
      <c r="G436">
        <v>755.16</v>
      </c>
      <c r="H436">
        <v>226.54799999999997</v>
      </c>
      <c r="I436" s="1" t="s">
        <v>19</v>
      </c>
      <c r="J436">
        <v>3</v>
      </c>
      <c r="K436" s="1" t="s">
        <v>1500</v>
      </c>
      <c r="L436">
        <v>2024</v>
      </c>
    </row>
    <row r="437" spans="1:12" x14ac:dyDescent="0.3">
      <c r="A437" s="1" t="s">
        <v>791</v>
      </c>
      <c r="B437" s="4">
        <v>46009</v>
      </c>
      <c r="C437" s="1" t="s">
        <v>792</v>
      </c>
      <c r="D437" s="1" t="s">
        <v>256</v>
      </c>
      <c r="E437">
        <v>2</v>
      </c>
      <c r="F437">
        <v>58.12</v>
      </c>
      <c r="G437">
        <v>116.24</v>
      </c>
      <c r="H437">
        <v>34.872</v>
      </c>
      <c r="I437" s="1" t="s">
        <v>36</v>
      </c>
      <c r="J437">
        <v>18</v>
      </c>
      <c r="K437" s="1" t="s">
        <v>1495</v>
      </c>
      <c r="L437">
        <v>2025</v>
      </c>
    </row>
    <row r="438" spans="1:12" x14ac:dyDescent="0.3">
      <c r="A438" s="1" t="s">
        <v>793</v>
      </c>
      <c r="B438" s="4">
        <v>45892</v>
      </c>
      <c r="C438" s="1" t="s">
        <v>794</v>
      </c>
      <c r="D438" s="1" t="s">
        <v>42</v>
      </c>
      <c r="E438">
        <v>4</v>
      </c>
      <c r="F438">
        <v>165.9</v>
      </c>
      <c r="G438">
        <v>663.6</v>
      </c>
      <c r="H438">
        <v>199.08</v>
      </c>
      <c r="I438" s="1" t="s">
        <v>15</v>
      </c>
      <c r="J438">
        <v>23</v>
      </c>
      <c r="K438" s="1" t="s">
        <v>1499</v>
      </c>
      <c r="L438">
        <v>2025</v>
      </c>
    </row>
    <row r="439" spans="1:12" x14ac:dyDescent="0.3">
      <c r="A439" s="1" t="s">
        <v>795</v>
      </c>
      <c r="B439" s="4">
        <v>45986</v>
      </c>
      <c r="C439" s="1" t="s">
        <v>796</v>
      </c>
      <c r="D439" s="1" t="s">
        <v>368</v>
      </c>
      <c r="E439">
        <v>1</v>
      </c>
      <c r="F439">
        <v>34.369999999999997</v>
      </c>
      <c r="G439">
        <v>34.369999999999997</v>
      </c>
      <c r="H439">
        <v>10.310999999999998</v>
      </c>
      <c r="I439" s="1" t="s">
        <v>11</v>
      </c>
      <c r="J439">
        <v>25</v>
      </c>
      <c r="K439" s="1" t="s">
        <v>1500</v>
      </c>
      <c r="L439">
        <v>2025</v>
      </c>
    </row>
    <row r="440" spans="1:12" x14ac:dyDescent="0.3">
      <c r="A440" s="1" t="s">
        <v>797</v>
      </c>
      <c r="B440" s="4">
        <v>45539</v>
      </c>
      <c r="C440" s="1" t="s">
        <v>792</v>
      </c>
      <c r="D440" s="1" t="s">
        <v>80</v>
      </c>
      <c r="E440">
        <v>3</v>
      </c>
      <c r="F440">
        <v>48.76</v>
      </c>
      <c r="G440">
        <v>146.28</v>
      </c>
      <c r="H440">
        <v>43.884</v>
      </c>
      <c r="I440" s="1" t="s">
        <v>11</v>
      </c>
      <c r="J440">
        <v>4</v>
      </c>
      <c r="K440" s="1" t="s">
        <v>1501</v>
      </c>
      <c r="L440">
        <v>2024</v>
      </c>
    </row>
    <row r="441" spans="1:12" x14ac:dyDescent="0.3">
      <c r="A441" s="1" t="s">
        <v>798</v>
      </c>
      <c r="B441" s="4">
        <v>45906</v>
      </c>
      <c r="C441" s="1" t="s">
        <v>640</v>
      </c>
      <c r="D441" s="1" t="s">
        <v>51</v>
      </c>
      <c r="E441">
        <v>1</v>
      </c>
      <c r="F441">
        <v>64.62</v>
      </c>
      <c r="G441">
        <v>64.62</v>
      </c>
      <c r="H441">
        <v>19.385999999999999</v>
      </c>
      <c r="I441" s="1" t="s">
        <v>36</v>
      </c>
      <c r="J441">
        <v>6</v>
      </c>
      <c r="K441" s="1" t="s">
        <v>1501</v>
      </c>
      <c r="L441">
        <v>2025</v>
      </c>
    </row>
    <row r="442" spans="1:12" x14ac:dyDescent="0.3">
      <c r="A442" s="1" t="s">
        <v>799</v>
      </c>
      <c r="B442" s="4">
        <v>45879</v>
      </c>
      <c r="C442" s="1" t="s">
        <v>707</v>
      </c>
      <c r="D442" s="1" t="s">
        <v>57</v>
      </c>
      <c r="E442">
        <v>3</v>
      </c>
      <c r="F442">
        <v>38.93</v>
      </c>
      <c r="G442">
        <v>116.79</v>
      </c>
      <c r="H442">
        <v>35.036999999999999</v>
      </c>
      <c r="I442" s="1" t="s">
        <v>36</v>
      </c>
      <c r="J442">
        <v>10</v>
      </c>
      <c r="K442" s="1" t="s">
        <v>1499</v>
      </c>
      <c r="L442">
        <v>2025</v>
      </c>
    </row>
    <row r="443" spans="1:12" x14ac:dyDescent="0.3">
      <c r="A443" s="1" t="s">
        <v>800</v>
      </c>
      <c r="B443" s="4">
        <v>45664</v>
      </c>
      <c r="C443" s="1" t="s">
        <v>263</v>
      </c>
      <c r="D443" s="1" t="s">
        <v>83</v>
      </c>
      <c r="E443">
        <v>1</v>
      </c>
      <c r="F443">
        <v>28.49</v>
      </c>
      <c r="G443">
        <v>28.49</v>
      </c>
      <c r="H443">
        <v>8.5469999999999988</v>
      </c>
      <c r="I443" s="1" t="s">
        <v>11</v>
      </c>
      <c r="J443">
        <v>7</v>
      </c>
      <c r="K443" s="1" t="s">
        <v>1493</v>
      </c>
      <c r="L443">
        <v>2025</v>
      </c>
    </row>
    <row r="444" spans="1:12" x14ac:dyDescent="0.3">
      <c r="A444" s="1" t="s">
        <v>801</v>
      </c>
      <c r="B444" s="4">
        <v>45322</v>
      </c>
      <c r="C444" s="1" t="s">
        <v>670</v>
      </c>
      <c r="D444" s="1" t="s">
        <v>327</v>
      </c>
      <c r="E444">
        <v>1</v>
      </c>
      <c r="F444">
        <v>89.24</v>
      </c>
      <c r="G444">
        <v>89.24</v>
      </c>
      <c r="H444">
        <v>26.771999999999998</v>
      </c>
      <c r="I444" s="1" t="s">
        <v>19</v>
      </c>
      <c r="J444">
        <v>31</v>
      </c>
      <c r="K444" s="1" t="s">
        <v>1493</v>
      </c>
      <c r="L444">
        <v>2024</v>
      </c>
    </row>
    <row r="445" spans="1:12" x14ac:dyDescent="0.3">
      <c r="A445" s="1" t="s">
        <v>802</v>
      </c>
      <c r="B445" s="4">
        <v>45578</v>
      </c>
      <c r="C445" s="1" t="s">
        <v>64</v>
      </c>
      <c r="D445" s="1" t="s">
        <v>153</v>
      </c>
      <c r="E445">
        <v>2</v>
      </c>
      <c r="F445">
        <v>60.32</v>
      </c>
      <c r="G445">
        <v>120.64</v>
      </c>
      <c r="H445">
        <v>36.192</v>
      </c>
      <c r="I445" s="1" t="s">
        <v>19</v>
      </c>
      <c r="J445">
        <v>13</v>
      </c>
      <c r="K445" s="1" t="s">
        <v>1490</v>
      </c>
      <c r="L445">
        <v>2024</v>
      </c>
    </row>
    <row r="446" spans="1:12" x14ac:dyDescent="0.3">
      <c r="A446" s="1" t="s">
        <v>803</v>
      </c>
      <c r="B446" s="4">
        <v>45875</v>
      </c>
      <c r="C446" s="1" t="s">
        <v>220</v>
      </c>
      <c r="D446" s="1" t="s">
        <v>33</v>
      </c>
      <c r="E446">
        <v>3</v>
      </c>
      <c r="F446">
        <v>78.92</v>
      </c>
      <c r="G446">
        <v>236.76</v>
      </c>
      <c r="H446">
        <v>71.027999999999992</v>
      </c>
      <c r="I446" s="1" t="s">
        <v>11</v>
      </c>
      <c r="J446">
        <v>6</v>
      </c>
      <c r="K446" s="1" t="s">
        <v>1499</v>
      </c>
      <c r="L446">
        <v>2025</v>
      </c>
    </row>
    <row r="447" spans="1:12" x14ac:dyDescent="0.3">
      <c r="A447" s="1" t="s">
        <v>804</v>
      </c>
      <c r="B447" s="4">
        <v>45645</v>
      </c>
      <c r="C447" s="1" t="s">
        <v>666</v>
      </c>
      <c r="D447" s="1" t="s">
        <v>239</v>
      </c>
      <c r="E447">
        <v>10</v>
      </c>
      <c r="F447">
        <v>103.45</v>
      </c>
      <c r="G447">
        <v>1034.5</v>
      </c>
      <c r="H447">
        <v>310.34999999999997</v>
      </c>
      <c r="I447" s="1" t="s">
        <v>36</v>
      </c>
      <c r="J447">
        <v>19</v>
      </c>
      <c r="K447" s="1" t="s">
        <v>1495</v>
      </c>
      <c r="L447">
        <v>2024</v>
      </c>
    </row>
    <row r="448" spans="1:12" x14ac:dyDescent="0.3">
      <c r="A448" s="1" t="s">
        <v>805</v>
      </c>
      <c r="B448" s="4">
        <v>45717</v>
      </c>
      <c r="C448" s="1" t="s">
        <v>806</v>
      </c>
      <c r="D448" s="1" t="s">
        <v>24</v>
      </c>
      <c r="E448">
        <v>9</v>
      </c>
      <c r="F448">
        <v>134.32</v>
      </c>
      <c r="G448">
        <v>1208.8800000000001</v>
      </c>
      <c r="H448">
        <v>362.66400000000004</v>
      </c>
      <c r="I448" s="1" t="s">
        <v>15</v>
      </c>
      <c r="J448">
        <v>1</v>
      </c>
      <c r="K448" s="1" t="s">
        <v>1491</v>
      </c>
      <c r="L448">
        <v>2025</v>
      </c>
    </row>
    <row r="449" spans="1:12" x14ac:dyDescent="0.3">
      <c r="A449" s="1" t="s">
        <v>807</v>
      </c>
      <c r="B449" s="4">
        <v>45883</v>
      </c>
      <c r="C449" s="1" t="s">
        <v>808</v>
      </c>
      <c r="D449" s="1" t="s">
        <v>45</v>
      </c>
      <c r="E449">
        <v>9</v>
      </c>
      <c r="F449">
        <v>24.62</v>
      </c>
      <c r="G449">
        <v>221.58</v>
      </c>
      <c r="H449">
        <v>66.474000000000004</v>
      </c>
      <c r="I449" s="1" t="s">
        <v>19</v>
      </c>
      <c r="J449">
        <v>14</v>
      </c>
      <c r="K449" s="1" t="s">
        <v>1499</v>
      </c>
      <c r="L449">
        <v>2025</v>
      </c>
    </row>
    <row r="450" spans="1:12" x14ac:dyDescent="0.3">
      <c r="A450" s="1" t="s">
        <v>809</v>
      </c>
      <c r="B450" s="4">
        <v>45430</v>
      </c>
      <c r="C450" s="1" t="s">
        <v>715</v>
      </c>
      <c r="D450" s="1" t="s">
        <v>221</v>
      </c>
      <c r="E450">
        <v>8</v>
      </c>
      <c r="F450">
        <v>108.19</v>
      </c>
      <c r="G450">
        <v>865.52</v>
      </c>
      <c r="H450">
        <v>259.65600000000001</v>
      </c>
      <c r="I450" s="1" t="s">
        <v>36</v>
      </c>
      <c r="J450">
        <v>18</v>
      </c>
      <c r="K450" s="1" t="s">
        <v>1492</v>
      </c>
      <c r="L450">
        <v>2024</v>
      </c>
    </row>
    <row r="451" spans="1:12" x14ac:dyDescent="0.3">
      <c r="A451" s="1" t="s">
        <v>810</v>
      </c>
      <c r="B451" s="4">
        <v>45505</v>
      </c>
      <c r="C451" s="1" t="s">
        <v>120</v>
      </c>
      <c r="D451" s="1" t="s">
        <v>72</v>
      </c>
      <c r="E451">
        <v>2</v>
      </c>
      <c r="F451">
        <v>134.61000000000001</v>
      </c>
      <c r="G451">
        <v>269.22000000000003</v>
      </c>
      <c r="H451">
        <v>80.766000000000005</v>
      </c>
      <c r="I451" s="1" t="s">
        <v>11</v>
      </c>
      <c r="J451">
        <v>1</v>
      </c>
      <c r="K451" s="1" t="s">
        <v>1499</v>
      </c>
      <c r="L451">
        <v>2024</v>
      </c>
    </row>
    <row r="452" spans="1:12" x14ac:dyDescent="0.3">
      <c r="A452" s="1" t="s">
        <v>811</v>
      </c>
      <c r="B452" s="4">
        <v>46019</v>
      </c>
      <c r="C452" s="1" t="s">
        <v>753</v>
      </c>
      <c r="D452" s="1" t="s">
        <v>45</v>
      </c>
      <c r="E452">
        <v>8</v>
      </c>
      <c r="F452">
        <v>24.62</v>
      </c>
      <c r="G452">
        <v>196.96</v>
      </c>
      <c r="H452">
        <v>59.088000000000001</v>
      </c>
      <c r="I452" s="1" t="s">
        <v>36</v>
      </c>
      <c r="J452">
        <v>28</v>
      </c>
      <c r="K452" s="1" t="s">
        <v>1495</v>
      </c>
      <c r="L452">
        <v>2025</v>
      </c>
    </row>
    <row r="453" spans="1:12" x14ac:dyDescent="0.3">
      <c r="A453" s="1" t="s">
        <v>812</v>
      </c>
      <c r="B453" s="4">
        <v>45487</v>
      </c>
      <c r="C453" s="1" t="s">
        <v>595</v>
      </c>
      <c r="D453" s="1" t="s">
        <v>221</v>
      </c>
      <c r="E453">
        <v>2</v>
      </c>
      <c r="F453">
        <v>108.19</v>
      </c>
      <c r="G453">
        <v>216.38</v>
      </c>
      <c r="H453">
        <v>64.914000000000001</v>
      </c>
      <c r="I453" s="1" t="s">
        <v>15</v>
      </c>
      <c r="J453">
        <v>14</v>
      </c>
      <c r="K453" s="1" t="s">
        <v>1498</v>
      </c>
      <c r="L453">
        <v>2024</v>
      </c>
    </row>
    <row r="454" spans="1:12" x14ac:dyDescent="0.3">
      <c r="A454" s="1" t="s">
        <v>813</v>
      </c>
      <c r="B454" s="4">
        <v>46020</v>
      </c>
      <c r="C454" s="1" t="s">
        <v>814</v>
      </c>
      <c r="D454" s="1" t="s">
        <v>244</v>
      </c>
      <c r="E454">
        <v>1</v>
      </c>
      <c r="F454">
        <v>193.35</v>
      </c>
      <c r="G454">
        <v>193.35</v>
      </c>
      <c r="H454">
        <v>58.004999999999995</v>
      </c>
      <c r="I454" s="1" t="s">
        <v>11</v>
      </c>
      <c r="J454">
        <v>29</v>
      </c>
      <c r="K454" s="1" t="s">
        <v>1495</v>
      </c>
      <c r="L454">
        <v>2025</v>
      </c>
    </row>
    <row r="455" spans="1:12" x14ac:dyDescent="0.3">
      <c r="A455" s="1" t="s">
        <v>815</v>
      </c>
      <c r="B455" s="4">
        <v>45560</v>
      </c>
      <c r="C455" s="1" t="s">
        <v>790</v>
      </c>
      <c r="D455" s="1" t="s">
        <v>246</v>
      </c>
      <c r="E455">
        <v>5</v>
      </c>
      <c r="F455">
        <v>17.22</v>
      </c>
      <c r="G455">
        <v>86.1</v>
      </c>
      <c r="H455">
        <v>25.83</v>
      </c>
      <c r="I455" s="1" t="s">
        <v>15</v>
      </c>
      <c r="J455">
        <v>25</v>
      </c>
      <c r="K455" s="1" t="s">
        <v>1501</v>
      </c>
      <c r="L455">
        <v>2024</v>
      </c>
    </row>
    <row r="456" spans="1:12" x14ac:dyDescent="0.3">
      <c r="A456" s="1" t="s">
        <v>816</v>
      </c>
      <c r="B456" s="4">
        <v>45969</v>
      </c>
      <c r="C456" s="1" t="s">
        <v>817</v>
      </c>
      <c r="D456" s="1" t="s">
        <v>239</v>
      </c>
      <c r="E456">
        <v>8</v>
      </c>
      <c r="F456">
        <v>103.45</v>
      </c>
      <c r="G456">
        <v>827.6</v>
      </c>
      <c r="H456">
        <v>248.28</v>
      </c>
      <c r="I456" s="1" t="s">
        <v>15</v>
      </c>
      <c r="J456">
        <v>8</v>
      </c>
      <c r="K456" s="1" t="s">
        <v>1500</v>
      </c>
      <c r="L456">
        <v>2025</v>
      </c>
    </row>
    <row r="457" spans="1:12" x14ac:dyDescent="0.3">
      <c r="A457" s="1" t="s">
        <v>818</v>
      </c>
      <c r="B457" s="4">
        <v>45918</v>
      </c>
      <c r="C457" s="1" t="s">
        <v>819</v>
      </c>
      <c r="D457" s="1" t="s">
        <v>132</v>
      </c>
      <c r="E457">
        <v>2</v>
      </c>
      <c r="F457">
        <v>52.45</v>
      </c>
      <c r="G457">
        <v>104.9</v>
      </c>
      <c r="H457">
        <v>31.47</v>
      </c>
      <c r="I457" s="1" t="s">
        <v>11</v>
      </c>
      <c r="J457">
        <v>18</v>
      </c>
      <c r="K457" s="1" t="s">
        <v>1501</v>
      </c>
      <c r="L457">
        <v>2025</v>
      </c>
    </row>
    <row r="458" spans="1:12" x14ac:dyDescent="0.3">
      <c r="A458" s="1" t="s">
        <v>820</v>
      </c>
      <c r="B458" s="4">
        <v>45778</v>
      </c>
      <c r="C458" s="1" t="s">
        <v>821</v>
      </c>
      <c r="D458" s="1" t="s">
        <v>277</v>
      </c>
      <c r="E458">
        <v>4</v>
      </c>
      <c r="F458">
        <v>56.18</v>
      </c>
      <c r="G458">
        <v>224.72</v>
      </c>
      <c r="H458">
        <v>67.415999999999997</v>
      </c>
      <c r="I458" s="1" t="s">
        <v>15</v>
      </c>
      <c r="J458">
        <v>1</v>
      </c>
      <c r="K458" s="1" t="s">
        <v>1492</v>
      </c>
      <c r="L458">
        <v>2025</v>
      </c>
    </row>
    <row r="459" spans="1:12" x14ac:dyDescent="0.3">
      <c r="A459" s="1" t="s">
        <v>822</v>
      </c>
      <c r="B459" s="4">
        <v>45302</v>
      </c>
      <c r="C459" s="1" t="s">
        <v>823</v>
      </c>
      <c r="D459" s="1" t="s">
        <v>332</v>
      </c>
      <c r="E459">
        <v>5</v>
      </c>
      <c r="F459">
        <v>115.1</v>
      </c>
      <c r="G459">
        <v>575.5</v>
      </c>
      <c r="H459">
        <v>172.65</v>
      </c>
      <c r="I459" s="1" t="s">
        <v>15</v>
      </c>
      <c r="J459">
        <v>11</v>
      </c>
      <c r="K459" s="1" t="s">
        <v>1493</v>
      </c>
      <c r="L459">
        <v>2024</v>
      </c>
    </row>
    <row r="460" spans="1:12" x14ac:dyDescent="0.3">
      <c r="A460" s="1" t="s">
        <v>824</v>
      </c>
      <c r="B460" s="4">
        <v>45830</v>
      </c>
      <c r="C460" s="1" t="s">
        <v>571</v>
      </c>
      <c r="D460" s="1" t="s">
        <v>42</v>
      </c>
      <c r="E460">
        <v>3</v>
      </c>
      <c r="F460">
        <v>165.9</v>
      </c>
      <c r="G460">
        <v>497.7</v>
      </c>
      <c r="H460">
        <v>149.31</v>
      </c>
      <c r="I460" s="1" t="s">
        <v>11</v>
      </c>
      <c r="J460">
        <v>22</v>
      </c>
      <c r="K460" s="1" t="s">
        <v>1497</v>
      </c>
      <c r="L460">
        <v>2025</v>
      </c>
    </row>
    <row r="461" spans="1:12" x14ac:dyDescent="0.3">
      <c r="A461" s="1" t="s">
        <v>825</v>
      </c>
      <c r="B461" s="4">
        <v>45578</v>
      </c>
      <c r="C461" s="1" t="s">
        <v>528</v>
      </c>
      <c r="D461" s="1" t="s">
        <v>153</v>
      </c>
      <c r="E461">
        <v>4</v>
      </c>
      <c r="F461">
        <v>60.32</v>
      </c>
      <c r="G461">
        <v>241.28</v>
      </c>
      <c r="H461">
        <v>72.384</v>
      </c>
      <c r="I461" s="1" t="s">
        <v>36</v>
      </c>
      <c r="J461">
        <v>13</v>
      </c>
      <c r="K461" s="1" t="s">
        <v>1490</v>
      </c>
      <c r="L461">
        <v>2024</v>
      </c>
    </row>
    <row r="462" spans="1:12" x14ac:dyDescent="0.3">
      <c r="A462" s="1" t="s">
        <v>826</v>
      </c>
      <c r="B462" s="4">
        <v>45848</v>
      </c>
      <c r="C462" s="1" t="s">
        <v>162</v>
      </c>
      <c r="D462" s="1" t="s">
        <v>67</v>
      </c>
      <c r="E462">
        <v>2</v>
      </c>
      <c r="F462">
        <v>29.94</v>
      </c>
      <c r="G462">
        <v>59.88</v>
      </c>
      <c r="H462">
        <v>17.963999999999999</v>
      </c>
      <c r="I462" s="1" t="s">
        <v>15</v>
      </c>
      <c r="J462">
        <v>10</v>
      </c>
      <c r="K462" s="1" t="s">
        <v>1498</v>
      </c>
      <c r="L462">
        <v>2025</v>
      </c>
    </row>
    <row r="463" spans="1:12" x14ac:dyDescent="0.3">
      <c r="A463" s="1" t="s">
        <v>827</v>
      </c>
      <c r="B463" s="4">
        <v>45472</v>
      </c>
      <c r="C463" s="1" t="s">
        <v>828</v>
      </c>
      <c r="D463" s="1" t="s">
        <v>57</v>
      </c>
      <c r="E463">
        <v>10</v>
      </c>
      <c r="F463">
        <v>38.93</v>
      </c>
      <c r="G463">
        <v>389.3</v>
      </c>
      <c r="H463">
        <v>116.78999999999999</v>
      </c>
      <c r="I463" s="1" t="s">
        <v>19</v>
      </c>
      <c r="J463">
        <v>29</v>
      </c>
      <c r="K463" s="1" t="s">
        <v>1497</v>
      </c>
      <c r="L463">
        <v>2024</v>
      </c>
    </row>
    <row r="464" spans="1:12" x14ac:dyDescent="0.3">
      <c r="A464" s="1" t="s">
        <v>829</v>
      </c>
      <c r="B464" s="4">
        <v>45370</v>
      </c>
      <c r="C464" s="1" t="s">
        <v>554</v>
      </c>
      <c r="D464" s="1" t="s">
        <v>57</v>
      </c>
      <c r="E464">
        <v>9</v>
      </c>
      <c r="F464">
        <v>38.93</v>
      </c>
      <c r="G464">
        <v>350.37</v>
      </c>
      <c r="H464">
        <v>105.111</v>
      </c>
      <c r="I464" s="1" t="s">
        <v>15</v>
      </c>
      <c r="J464">
        <v>19</v>
      </c>
      <c r="K464" s="1" t="s">
        <v>1491</v>
      </c>
      <c r="L464">
        <v>2024</v>
      </c>
    </row>
    <row r="465" spans="1:12" x14ac:dyDescent="0.3">
      <c r="A465" s="1" t="s">
        <v>830</v>
      </c>
      <c r="B465" s="4">
        <v>45790</v>
      </c>
      <c r="C465" s="1" t="s">
        <v>346</v>
      </c>
      <c r="D465" s="1" t="s">
        <v>27</v>
      </c>
      <c r="E465">
        <v>6</v>
      </c>
      <c r="F465">
        <v>35.03</v>
      </c>
      <c r="G465">
        <v>210.18</v>
      </c>
      <c r="H465">
        <v>63.054000000000002</v>
      </c>
      <c r="I465" s="1" t="s">
        <v>11</v>
      </c>
      <c r="J465">
        <v>13</v>
      </c>
      <c r="K465" s="1" t="s">
        <v>1492</v>
      </c>
      <c r="L465">
        <v>2025</v>
      </c>
    </row>
    <row r="466" spans="1:12" x14ac:dyDescent="0.3">
      <c r="A466" s="1" t="s">
        <v>831</v>
      </c>
      <c r="B466" s="4">
        <v>45554</v>
      </c>
      <c r="C466" s="1" t="s">
        <v>832</v>
      </c>
      <c r="D466" s="1" t="s">
        <v>75</v>
      </c>
      <c r="E466">
        <v>2</v>
      </c>
      <c r="F466">
        <v>49.95</v>
      </c>
      <c r="G466">
        <v>99.9</v>
      </c>
      <c r="H466">
        <v>29.97</v>
      </c>
      <c r="I466" s="1" t="s">
        <v>19</v>
      </c>
      <c r="J466">
        <v>19</v>
      </c>
      <c r="K466" s="1" t="s">
        <v>1501</v>
      </c>
      <c r="L466">
        <v>2024</v>
      </c>
    </row>
    <row r="467" spans="1:12" x14ac:dyDescent="0.3">
      <c r="A467" s="1" t="s">
        <v>833</v>
      </c>
      <c r="B467" s="4">
        <v>45595</v>
      </c>
      <c r="C467" s="1" t="s">
        <v>834</v>
      </c>
      <c r="D467" s="1" t="s">
        <v>132</v>
      </c>
      <c r="E467">
        <v>7</v>
      </c>
      <c r="F467">
        <v>52.45</v>
      </c>
      <c r="G467">
        <v>367.15</v>
      </c>
      <c r="H467">
        <v>110.145</v>
      </c>
      <c r="I467" s="1" t="s">
        <v>19</v>
      </c>
      <c r="J467">
        <v>30</v>
      </c>
      <c r="K467" s="1" t="s">
        <v>1490</v>
      </c>
      <c r="L467">
        <v>2024</v>
      </c>
    </row>
    <row r="468" spans="1:12" x14ac:dyDescent="0.3">
      <c r="A468" s="1" t="s">
        <v>835</v>
      </c>
      <c r="B468" s="4">
        <v>45780</v>
      </c>
      <c r="C468" s="1" t="s">
        <v>50</v>
      </c>
      <c r="D468" s="1" t="s">
        <v>24</v>
      </c>
      <c r="E468">
        <v>8</v>
      </c>
      <c r="F468">
        <v>134.32</v>
      </c>
      <c r="G468">
        <v>1074.56</v>
      </c>
      <c r="H468">
        <v>322.36799999999999</v>
      </c>
      <c r="I468" s="1" t="s">
        <v>36</v>
      </c>
      <c r="J468">
        <v>3</v>
      </c>
      <c r="K468" s="1" t="s">
        <v>1492</v>
      </c>
      <c r="L468">
        <v>2025</v>
      </c>
    </row>
    <row r="469" spans="1:12" x14ac:dyDescent="0.3">
      <c r="A469" s="1" t="s">
        <v>836</v>
      </c>
      <c r="B469" s="4">
        <v>45496</v>
      </c>
      <c r="C469" s="1" t="s">
        <v>514</v>
      </c>
      <c r="D469" s="1" t="s">
        <v>102</v>
      </c>
      <c r="E469">
        <v>5</v>
      </c>
      <c r="F469">
        <v>41.45</v>
      </c>
      <c r="G469">
        <v>207.25</v>
      </c>
      <c r="H469">
        <v>62.174999999999997</v>
      </c>
      <c r="I469" s="1" t="s">
        <v>36</v>
      </c>
      <c r="J469">
        <v>23</v>
      </c>
      <c r="K469" s="1" t="s">
        <v>1498</v>
      </c>
      <c r="L469">
        <v>2024</v>
      </c>
    </row>
    <row r="470" spans="1:12" x14ac:dyDescent="0.3">
      <c r="A470" s="1" t="s">
        <v>837</v>
      </c>
      <c r="B470" s="4">
        <v>45886</v>
      </c>
      <c r="C470" s="1" t="s">
        <v>838</v>
      </c>
      <c r="D470" s="1" t="s">
        <v>201</v>
      </c>
      <c r="E470">
        <v>2</v>
      </c>
      <c r="F470">
        <v>53.74</v>
      </c>
      <c r="G470">
        <v>107.48</v>
      </c>
      <c r="H470">
        <v>32.244</v>
      </c>
      <c r="I470" s="1" t="s">
        <v>11</v>
      </c>
      <c r="J470">
        <v>17</v>
      </c>
      <c r="K470" s="1" t="s">
        <v>1499</v>
      </c>
      <c r="L470">
        <v>2025</v>
      </c>
    </row>
    <row r="471" spans="1:12" x14ac:dyDescent="0.3">
      <c r="A471" s="1" t="s">
        <v>839</v>
      </c>
      <c r="B471" s="4">
        <v>45786</v>
      </c>
      <c r="C471" s="1" t="s">
        <v>840</v>
      </c>
      <c r="D471" s="1" t="s">
        <v>142</v>
      </c>
      <c r="E471">
        <v>4</v>
      </c>
      <c r="F471">
        <v>52.52</v>
      </c>
      <c r="G471">
        <v>210.08</v>
      </c>
      <c r="H471">
        <v>63.024000000000001</v>
      </c>
      <c r="I471" s="1" t="s">
        <v>19</v>
      </c>
      <c r="J471">
        <v>9</v>
      </c>
      <c r="K471" s="1" t="s">
        <v>1492</v>
      </c>
      <c r="L471">
        <v>2025</v>
      </c>
    </row>
    <row r="472" spans="1:12" x14ac:dyDescent="0.3">
      <c r="A472" s="1" t="s">
        <v>841</v>
      </c>
      <c r="B472" s="4">
        <v>45988</v>
      </c>
      <c r="C472" s="1" t="s">
        <v>842</v>
      </c>
      <c r="D472" s="1" t="s">
        <v>39</v>
      </c>
      <c r="E472">
        <v>3</v>
      </c>
      <c r="F472">
        <v>18.850000000000001</v>
      </c>
      <c r="G472">
        <v>56.55</v>
      </c>
      <c r="H472">
        <v>16.965</v>
      </c>
      <c r="I472" s="1" t="s">
        <v>36</v>
      </c>
      <c r="J472">
        <v>27</v>
      </c>
      <c r="K472" s="1" t="s">
        <v>1500</v>
      </c>
      <c r="L472">
        <v>2025</v>
      </c>
    </row>
    <row r="473" spans="1:12" x14ac:dyDescent="0.3">
      <c r="A473" s="1" t="s">
        <v>843</v>
      </c>
      <c r="B473" s="4">
        <v>45980</v>
      </c>
      <c r="C473" s="1" t="s">
        <v>281</v>
      </c>
      <c r="D473" s="1" t="s">
        <v>153</v>
      </c>
      <c r="E473">
        <v>8</v>
      </c>
      <c r="F473">
        <v>60.32</v>
      </c>
      <c r="G473">
        <v>482.56</v>
      </c>
      <c r="H473">
        <v>144.768</v>
      </c>
      <c r="I473" s="1" t="s">
        <v>19</v>
      </c>
      <c r="J473">
        <v>19</v>
      </c>
      <c r="K473" s="1" t="s">
        <v>1500</v>
      </c>
      <c r="L473">
        <v>2025</v>
      </c>
    </row>
    <row r="474" spans="1:12" x14ac:dyDescent="0.3">
      <c r="A474" s="1" t="s">
        <v>844</v>
      </c>
      <c r="B474" s="4">
        <v>45653</v>
      </c>
      <c r="C474" s="1" t="s">
        <v>845</v>
      </c>
      <c r="D474" s="1" t="s">
        <v>228</v>
      </c>
      <c r="E474">
        <v>1</v>
      </c>
      <c r="F474">
        <v>104.84</v>
      </c>
      <c r="G474">
        <v>104.84</v>
      </c>
      <c r="H474">
        <v>31.451999999999998</v>
      </c>
      <c r="I474" s="1" t="s">
        <v>19</v>
      </c>
      <c r="J474">
        <v>27</v>
      </c>
      <c r="K474" s="1" t="s">
        <v>1495</v>
      </c>
      <c r="L474">
        <v>2024</v>
      </c>
    </row>
    <row r="475" spans="1:12" x14ac:dyDescent="0.3">
      <c r="A475" s="1" t="s">
        <v>846</v>
      </c>
      <c r="B475" s="4">
        <v>45936</v>
      </c>
      <c r="C475" s="1" t="s">
        <v>847</v>
      </c>
      <c r="D475" s="1" t="s">
        <v>57</v>
      </c>
      <c r="E475">
        <v>10</v>
      </c>
      <c r="F475">
        <v>38.93</v>
      </c>
      <c r="G475">
        <v>389.3</v>
      </c>
      <c r="H475">
        <v>116.78999999999999</v>
      </c>
      <c r="I475" s="1" t="s">
        <v>36</v>
      </c>
      <c r="J475">
        <v>6</v>
      </c>
      <c r="K475" s="1" t="s">
        <v>1490</v>
      </c>
      <c r="L475">
        <v>2025</v>
      </c>
    </row>
    <row r="476" spans="1:12" x14ac:dyDescent="0.3">
      <c r="A476" s="1" t="s">
        <v>848</v>
      </c>
      <c r="B476" s="4">
        <v>45335</v>
      </c>
      <c r="C476" s="1" t="s">
        <v>135</v>
      </c>
      <c r="D476" s="1" t="s">
        <v>88</v>
      </c>
      <c r="E476">
        <v>9</v>
      </c>
      <c r="F476">
        <v>162.21</v>
      </c>
      <c r="G476">
        <v>1459.89</v>
      </c>
      <c r="H476">
        <v>437.96700000000004</v>
      </c>
      <c r="I476" s="1" t="s">
        <v>19</v>
      </c>
      <c r="J476">
        <v>13</v>
      </c>
      <c r="K476" s="1" t="s">
        <v>1494</v>
      </c>
      <c r="L476">
        <v>2024</v>
      </c>
    </row>
    <row r="477" spans="1:12" x14ac:dyDescent="0.3">
      <c r="A477" s="1" t="s">
        <v>849</v>
      </c>
      <c r="B477" s="4">
        <v>45547</v>
      </c>
      <c r="C477" s="1" t="s">
        <v>363</v>
      </c>
      <c r="D477" s="1" t="s">
        <v>60</v>
      </c>
      <c r="E477">
        <v>5</v>
      </c>
      <c r="F477">
        <v>107.88</v>
      </c>
      <c r="G477">
        <v>539.4</v>
      </c>
      <c r="H477">
        <v>161.82</v>
      </c>
      <c r="I477" s="1" t="s">
        <v>15</v>
      </c>
      <c r="J477">
        <v>12</v>
      </c>
      <c r="K477" s="1" t="s">
        <v>1501</v>
      </c>
      <c r="L477">
        <v>2024</v>
      </c>
    </row>
    <row r="478" spans="1:12" x14ac:dyDescent="0.3">
      <c r="A478" s="1" t="s">
        <v>850</v>
      </c>
      <c r="B478" s="4">
        <v>45808</v>
      </c>
      <c r="C478" s="1" t="s">
        <v>494</v>
      </c>
      <c r="D478" s="1" t="s">
        <v>42</v>
      </c>
      <c r="E478">
        <v>3</v>
      </c>
      <c r="F478">
        <v>165.9</v>
      </c>
      <c r="G478">
        <v>497.7</v>
      </c>
      <c r="H478">
        <v>149.31</v>
      </c>
      <c r="I478" s="1" t="s">
        <v>11</v>
      </c>
      <c r="J478">
        <v>31</v>
      </c>
      <c r="K478" s="1" t="s">
        <v>1492</v>
      </c>
      <c r="L478">
        <v>2025</v>
      </c>
    </row>
    <row r="479" spans="1:12" x14ac:dyDescent="0.3">
      <c r="A479" s="1" t="s">
        <v>851</v>
      </c>
      <c r="B479" s="4">
        <v>45852</v>
      </c>
      <c r="C479" s="1" t="s">
        <v>852</v>
      </c>
      <c r="D479" s="1" t="s">
        <v>72</v>
      </c>
      <c r="E479">
        <v>6</v>
      </c>
      <c r="F479">
        <v>134.61000000000001</v>
      </c>
      <c r="G479">
        <v>807.66</v>
      </c>
      <c r="H479">
        <v>242.29799999999997</v>
      </c>
      <c r="I479" s="1" t="s">
        <v>36</v>
      </c>
      <c r="J479">
        <v>14</v>
      </c>
      <c r="K479" s="1" t="s">
        <v>1498</v>
      </c>
      <c r="L479">
        <v>2025</v>
      </c>
    </row>
    <row r="480" spans="1:12" x14ac:dyDescent="0.3">
      <c r="A480" s="1" t="s">
        <v>853</v>
      </c>
      <c r="B480" s="4">
        <v>45665</v>
      </c>
      <c r="C480" s="1" t="s">
        <v>854</v>
      </c>
      <c r="D480" s="1" t="s">
        <v>33</v>
      </c>
      <c r="E480">
        <v>3</v>
      </c>
      <c r="F480">
        <v>78.92</v>
      </c>
      <c r="G480">
        <v>236.76</v>
      </c>
      <c r="H480">
        <v>71.027999999999992</v>
      </c>
      <c r="I480" s="1" t="s">
        <v>15</v>
      </c>
      <c r="J480">
        <v>8</v>
      </c>
      <c r="K480" s="1" t="s">
        <v>1493</v>
      </c>
      <c r="L480">
        <v>2025</v>
      </c>
    </row>
    <row r="481" spans="1:12" x14ac:dyDescent="0.3">
      <c r="A481" s="1" t="s">
        <v>855</v>
      </c>
      <c r="B481" s="4">
        <v>45398</v>
      </c>
      <c r="C481" s="1" t="s">
        <v>856</v>
      </c>
      <c r="D481" s="1" t="s">
        <v>176</v>
      </c>
      <c r="E481">
        <v>7</v>
      </c>
      <c r="F481">
        <v>68.41</v>
      </c>
      <c r="G481">
        <v>478.87</v>
      </c>
      <c r="H481">
        <v>143.661</v>
      </c>
      <c r="I481" s="1" t="s">
        <v>11</v>
      </c>
      <c r="J481">
        <v>16</v>
      </c>
      <c r="K481" s="1" t="s">
        <v>1496</v>
      </c>
      <c r="L481">
        <v>2024</v>
      </c>
    </row>
    <row r="482" spans="1:12" x14ac:dyDescent="0.3">
      <c r="A482" s="1" t="s">
        <v>857</v>
      </c>
      <c r="B482" s="4">
        <v>45742</v>
      </c>
      <c r="C482" s="1" t="s">
        <v>858</v>
      </c>
      <c r="D482" s="1" t="s">
        <v>75</v>
      </c>
      <c r="E482">
        <v>4</v>
      </c>
      <c r="F482">
        <v>49.95</v>
      </c>
      <c r="G482">
        <v>199.8</v>
      </c>
      <c r="H482">
        <v>59.94</v>
      </c>
      <c r="I482" s="1" t="s">
        <v>15</v>
      </c>
      <c r="J482">
        <v>26</v>
      </c>
      <c r="K482" s="1" t="s">
        <v>1491</v>
      </c>
      <c r="L482">
        <v>2025</v>
      </c>
    </row>
    <row r="483" spans="1:12" x14ac:dyDescent="0.3">
      <c r="A483" s="1" t="s">
        <v>859</v>
      </c>
      <c r="B483" s="4">
        <v>45709</v>
      </c>
      <c r="C483" s="1" t="s">
        <v>64</v>
      </c>
      <c r="D483" s="1" t="s">
        <v>18</v>
      </c>
      <c r="E483">
        <v>1</v>
      </c>
      <c r="F483">
        <v>185.22</v>
      </c>
      <c r="G483">
        <v>185.22</v>
      </c>
      <c r="H483">
        <v>55.565999999999995</v>
      </c>
      <c r="I483" s="1" t="s">
        <v>11</v>
      </c>
      <c r="J483">
        <v>21</v>
      </c>
      <c r="K483" s="1" t="s">
        <v>1494</v>
      </c>
      <c r="L483">
        <v>2025</v>
      </c>
    </row>
    <row r="484" spans="1:12" x14ac:dyDescent="0.3">
      <c r="A484" s="1" t="s">
        <v>860</v>
      </c>
      <c r="B484" s="4">
        <v>45356</v>
      </c>
      <c r="C484" s="1" t="s">
        <v>53</v>
      </c>
      <c r="D484" s="1" t="s">
        <v>332</v>
      </c>
      <c r="E484">
        <v>7</v>
      </c>
      <c r="F484">
        <v>115.1</v>
      </c>
      <c r="G484">
        <v>805.7</v>
      </c>
      <c r="H484">
        <v>241.71</v>
      </c>
      <c r="I484" s="1" t="s">
        <v>15</v>
      </c>
      <c r="J484">
        <v>5</v>
      </c>
      <c r="K484" s="1" t="s">
        <v>1491</v>
      </c>
      <c r="L484">
        <v>2024</v>
      </c>
    </row>
    <row r="485" spans="1:12" x14ac:dyDescent="0.3">
      <c r="A485" s="1" t="s">
        <v>861</v>
      </c>
      <c r="B485" s="4">
        <v>45488</v>
      </c>
      <c r="C485" s="1" t="s">
        <v>862</v>
      </c>
      <c r="D485" s="1" t="s">
        <v>88</v>
      </c>
      <c r="E485">
        <v>4</v>
      </c>
      <c r="F485">
        <v>162.21</v>
      </c>
      <c r="G485">
        <v>648.84</v>
      </c>
      <c r="H485">
        <v>194.65200000000002</v>
      </c>
      <c r="I485" s="1" t="s">
        <v>11</v>
      </c>
      <c r="J485">
        <v>15</v>
      </c>
      <c r="K485" s="1" t="s">
        <v>1498</v>
      </c>
      <c r="L485">
        <v>2024</v>
      </c>
    </row>
    <row r="486" spans="1:12" x14ac:dyDescent="0.3">
      <c r="A486" s="1" t="s">
        <v>863</v>
      </c>
      <c r="B486" s="4">
        <v>45388</v>
      </c>
      <c r="C486" s="1" t="s">
        <v>864</v>
      </c>
      <c r="D486" s="1" t="s">
        <v>142</v>
      </c>
      <c r="E486">
        <v>7</v>
      </c>
      <c r="F486">
        <v>52.52</v>
      </c>
      <c r="G486">
        <v>367.64</v>
      </c>
      <c r="H486">
        <v>110.29199999999999</v>
      </c>
      <c r="I486" s="1" t="s">
        <v>11</v>
      </c>
      <c r="J486">
        <v>6</v>
      </c>
      <c r="K486" s="1" t="s">
        <v>1496</v>
      </c>
      <c r="L486">
        <v>2024</v>
      </c>
    </row>
    <row r="487" spans="1:12" x14ac:dyDescent="0.3">
      <c r="A487" s="1" t="s">
        <v>865</v>
      </c>
      <c r="B487" s="4">
        <v>45971</v>
      </c>
      <c r="C487" s="1" t="s">
        <v>326</v>
      </c>
      <c r="D487" s="1" t="s">
        <v>30</v>
      </c>
      <c r="E487">
        <v>9</v>
      </c>
      <c r="F487">
        <v>74.61</v>
      </c>
      <c r="G487">
        <v>671.49</v>
      </c>
      <c r="H487">
        <v>201.447</v>
      </c>
      <c r="I487" s="1" t="s">
        <v>36</v>
      </c>
      <c r="J487">
        <v>10</v>
      </c>
      <c r="K487" s="1" t="s">
        <v>1500</v>
      </c>
      <c r="L487">
        <v>2025</v>
      </c>
    </row>
    <row r="488" spans="1:12" x14ac:dyDescent="0.3">
      <c r="A488" s="1" t="s">
        <v>866</v>
      </c>
      <c r="B488" s="4">
        <v>45756</v>
      </c>
      <c r="C488" s="1" t="s">
        <v>195</v>
      </c>
      <c r="D488" s="1" t="s">
        <v>80</v>
      </c>
      <c r="E488">
        <v>7</v>
      </c>
      <c r="F488">
        <v>48.76</v>
      </c>
      <c r="G488">
        <v>341.32</v>
      </c>
      <c r="H488">
        <v>102.396</v>
      </c>
      <c r="I488" s="1" t="s">
        <v>36</v>
      </c>
      <c r="J488">
        <v>9</v>
      </c>
      <c r="K488" s="1" t="s">
        <v>1496</v>
      </c>
      <c r="L488">
        <v>2025</v>
      </c>
    </row>
    <row r="489" spans="1:12" x14ac:dyDescent="0.3">
      <c r="A489" s="1" t="s">
        <v>867</v>
      </c>
      <c r="B489" s="4">
        <v>45538</v>
      </c>
      <c r="C489" s="1" t="s">
        <v>868</v>
      </c>
      <c r="D489" s="1" t="s">
        <v>83</v>
      </c>
      <c r="E489">
        <v>3</v>
      </c>
      <c r="F489">
        <v>28.49</v>
      </c>
      <c r="G489">
        <v>85.47</v>
      </c>
      <c r="H489">
        <v>25.640999999999998</v>
      </c>
      <c r="I489" s="1" t="s">
        <v>11</v>
      </c>
      <c r="J489">
        <v>3</v>
      </c>
      <c r="K489" s="1" t="s">
        <v>1501</v>
      </c>
      <c r="L489">
        <v>2024</v>
      </c>
    </row>
    <row r="490" spans="1:12" x14ac:dyDescent="0.3">
      <c r="A490" s="1" t="s">
        <v>869</v>
      </c>
      <c r="B490" s="4">
        <v>45667</v>
      </c>
      <c r="C490" s="1" t="s">
        <v>715</v>
      </c>
      <c r="D490" s="1" t="s">
        <v>176</v>
      </c>
      <c r="E490">
        <v>8</v>
      </c>
      <c r="F490">
        <v>68.41</v>
      </c>
      <c r="G490">
        <v>547.28</v>
      </c>
      <c r="H490">
        <v>164.184</v>
      </c>
      <c r="I490" s="1" t="s">
        <v>36</v>
      </c>
      <c r="J490">
        <v>10</v>
      </c>
      <c r="K490" s="1" t="s">
        <v>1493</v>
      </c>
      <c r="L490">
        <v>2025</v>
      </c>
    </row>
    <row r="491" spans="1:12" x14ac:dyDescent="0.3">
      <c r="A491" s="1" t="s">
        <v>870</v>
      </c>
      <c r="B491" s="4">
        <v>45386</v>
      </c>
      <c r="C491" s="1" t="s">
        <v>790</v>
      </c>
      <c r="D491" s="1" t="s">
        <v>156</v>
      </c>
      <c r="E491">
        <v>3</v>
      </c>
      <c r="F491">
        <v>182.55</v>
      </c>
      <c r="G491">
        <v>547.65</v>
      </c>
      <c r="H491">
        <v>164.29499999999999</v>
      </c>
      <c r="I491" s="1" t="s">
        <v>19</v>
      </c>
      <c r="J491">
        <v>4</v>
      </c>
      <c r="K491" s="1" t="s">
        <v>1496</v>
      </c>
      <c r="L491">
        <v>2024</v>
      </c>
    </row>
    <row r="492" spans="1:12" x14ac:dyDescent="0.3">
      <c r="A492" s="1" t="s">
        <v>871</v>
      </c>
      <c r="B492" s="4">
        <v>45501</v>
      </c>
      <c r="C492" s="1" t="s">
        <v>318</v>
      </c>
      <c r="D492" s="1" t="s">
        <v>10</v>
      </c>
      <c r="E492">
        <v>4</v>
      </c>
      <c r="F492">
        <v>112.61</v>
      </c>
      <c r="G492">
        <v>450.44</v>
      </c>
      <c r="H492">
        <v>135.13200000000001</v>
      </c>
      <c r="I492" s="1" t="s">
        <v>15</v>
      </c>
      <c r="J492">
        <v>28</v>
      </c>
      <c r="K492" s="1" t="s">
        <v>1498</v>
      </c>
      <c r="L492">
        <v>2024</v>
      </c>
    </row>
    <row r="493" spans="1:12" x14ac:dyDescent="0.3">
      <c r="A493" s="1" t="s">
        <v>872</v>
      </c>
      <c r="B493" s="4">
        <v>45624</v>
      </c>
      <c r="C493" s="1" t="s">
        <v>873</v>
      </c>
      <c r="D493" s="1" t="s">
        <v>67</v>
      </c>
      <c r="E493">
        <v>3</v>
      </c>
      <c r="F493">
        <v>29.94</v>
      </c>
      <c r="G493">
        <v>89.82</v>
      </c>
      <c r="H493">
        <v>26.945999999999998</v>
      </c>
      <c r="I493" s="1" t="s">
        <v>36</v>
      </c>
      <c r="J493">
        <v>28</v>
      </c>
      <c r="K493" s="1" t="s">
        <v>1500</v>
      </c>
      <c r="L493">
        <v>2024</v>
      </c>
    </row>
    <row r="494" spans="1:12" x14ac:dyDescent="0.3">
      <c r="A494" s="1" t="s">
        <v>874</v>
      </c>
      <c r="B494" s="4">
        <v>45694</v>
      </c>
      <c r="C494" s="1" t="s">
        <v>290</v>
      </c>
      <c r="D494" s="1" t="s">
        <v>339</v>
      </c>
      <c r="E494">
        <v>5</v>
      </c>
      <c r="F494">
        <v>73.89</v>
      </c>
      <c r="G494">
        <v>369.45</v>
      </c>
      <c r="H494">
        <v>110.83499999999999</v>
      </c>
      <c r="I494" s="1" t="s">
        <v>11</v>
      </c>
      <c r="J494">
        <v>6</v>
      </c>
      <c r="K494" s="1" t="s">
        <v>1494</v>
      </c>
      <c r="L494">
        <v>2025</v>
      </c>
    </row>
    <row r="495" spans="1:12" x14ac:dyDescent="0.3">
      <c r="A495" s="1" t="s">
        <v>875</v>
      </c>
      <c r="B495" s="4">
        <v>45992</v>
      </c>
      <c r="C495" s="1" t="s">
        <v>263</v>
      </c>
      <c r="D495" s="1" t="s">
        <v>256</v>
      </c>
      <c r="E495">
        <v>8</v>
      </c>
      <c r="F495">
        <v>58.12</v>
      </c>
      <c r="G495">
        <v>464.96</v>
      </c>
      <c r="H495">
        <v>139.488</v>
      </c>
      <c r="I495" s="1" t="s">
        <v>36</v>
      </c>
      <c r="J495">
        <v>1</v>
      </c>
      <c r="K495" s="1" t="s">
        <v>1495</v>
      </c>
      <c r="L495">
        <v>2025</v>
      </c>
    </row>
    <row r="496" spans="1:12" x14ac:dyDescent="0.3">
      <c r="A496" s="1" t="s">
        <v>876</v>
      </c>
      <c r="B496" s="4">
        <v>45686</v>
      </c>
      <c r="C496" s="1" t="s">
        <v>877</v>
      </c>
      <c r="D496" s="1" t="s">
        <v>72</v>
      </c>
      <c r="E496">
        <v>6</v>
      </c>
      <c r="F496">
        <v>134.61000000000001</v>
      </c>
      <c r="G496">
        <v>807.66</v>
      </c>
      <c r="H496">
        <v>242.29799999999997</v>
      </c>
      <c r="I496" s="1" t="s">
        <v>11</v>
      </c>
      <c r="J496">
        <v>29</v>
      </c>
      <c r="K496" s="1" t="s">
        <v>1493</v>
      </c>
      <c r="L496">
        <v>2025</v>
      </c>
    </row>
    <row r="497" spans="1:12" x14ac:dyDescent="0.3">
      <c r="A497" s="1" t="s">
        <v>878</v>
      </c>
      <c r="B497" s="4">
        <v>45849</v>
      </c>
      <c r="C497" s="1" t="s">
        <v>38</v>
      </c>
      <c r="D497" s="1" t="s">
        <v>277</v>
      </c>
      <c r="E497">
        <v>2</v>
      </c>
      <c r="F497">
        <v>56.18</v>
      </c>
      <c r="G497">
        <v>112.36</v>
      </c>
      <c r="H497">
        <v>33.707999999999998</v>
      </c>
      <c r="I497" s="1" t="s">
        <v>19</v>
      </c>
      <c r="J497">
        <v>11</v>
      </c>
      <c r="K497" s="1" t="s">
        <v>1498</v>
      </c>
      <c r="L497">
        <v>2025</v>
      </c>
    </row>
    <row r="498" spans="1:12" x14ac:dyDescent="0.3">
      <c r="A498" s="1" t="s">
        <v>879</v>
      </c>
      <c r="B498" s="4">
        <v>45429</v>
      </c>
      <c r="C498" s="1" t="s">
        <v>518</v>
      </c>
      <c r="D498" s="1" t="s">
        <v>339</v>
      </c>
      <c r="E498">
        <v>10</v>
      </c>
      <c r="F498">
        <v>73.89</v>
      </c>
      <c r="G498">
        <v>738.9</v>
      </c>
      <c r="H498">
        <v>221.67</v>
      </c>
      <c r="I498" s="1" t="s">
        <v>11</v>
      </c>
      <c r="J498">
        <v>17</v>
      </c>
      <c r="K498" s="1" t="s">
        <v>1492</v>
      </c>
      <c r="L498">
        <v>2024</v>
      </c>
    </row>
    <row r="499" spans="1:12" x14ac:dyDescent="0.3">
      <c r="A499" s="1" t="s">
        <v>880</v>
      </c>
      <c r="B499" s="4">
        <v>45438</v>
      </c>
      <c r="C499" s="1" t="s">
        <v>881</v>
      </c>
      <c r="D499" s="1" t="s">
        <v>151</v>
      </c>
      <c r="E499">
        <v>5</v>
      </c>
      <c r="F499">
        <v>89.88</v>
      </c>
      <c r="G499">
        <v>449.4</v>
      </c>
      <c r="H499">
        <v>134.82</v>
      </c>
      <c r="I499" s="1" t="s">
        <v>19</v>
      </c>
      <c r="J499">
        <v>26</v>
      </c>
      <c r="K499" s="1" t="s">
        <v>1492</v>
      </c>
      <c r="L499">
        <v>2024</v>
      </c>
    </row>
    <row r="500" spans="1:12" x14ac:dyDescent="0.3">
      <c r="A500" s="1" t="s">
        <v>882</v>
      </c>
      <c r="B500" s="4">
        <v>45706</v>
      </c>
      <c r="C500" s="1" t="s">
        <v>66</v>
      </c>
      <c r="D500" s="1" t="s">
        <v>30</v>
      </c>
      <c r="E500">
        <v>5</v>
      </c>
      <c r="F500">
        <v>74.61</v>
      </c>
      <c r="G500">
        <v>373.05</v>
      </c>
      <c r="H500">
        <v>111.91500000000001</v>
      </c>
      <c r="I500" s="1" t="s">
        <v>15</v>
      </c>
      <c r="J500">
        <v>18</v>
      </c>
      <c r="K500" s="1" t="s">
        <v>1494</v>
      </c>
      <c r="L500">
        <v>2025</v>
      </c>
    </row>
    <row r="501" spans="1:12" x14ac:dyDescent="0.3">
      <c r="A501" s="1" t="s">
        <v>883</v>
      </c>
      <c r="B501" s="4">
        <v>45331</v>
      </c>
      <c r="C501" s="1" t="s">
        <v>884</v>
      </c>
      <c r="D501" s="1" t="s">
        <v>14</v>
      </c>
      <c r="E501">
        <v>3</v>
      </c>
      <c r="F501">
        <v>86.37</v>
      </c>
      <c r="G501">
        <v>259.11</v>
      </c>
      <c r="H501">
        <v>77.733000000000004</v>
      </c>
      <c r="I501" s="1" t="s">
        <v>15</v>
      </c>
      <c r="J501">
        <v>9</v>
      </c>
      <c r="K501" s="1" t="s">
        <v>1494</v>
      </c>
      <c r="L501">
        <v>2024</v>
      </c>
    </row>
    <row r="502" spans="1:12" x14ac:dyDescent="0.3">
      <c r="A502" s="1" t="s">
        <v>885</v>
      </c>
      <c r="B502" s="4">
        <v>45798</v>
      </c>
      <c r="C502" s="1" t="s">
        <v>69</v>
      </c>
      <c r="D502" s="1" t="s">
        <v>42</v>
      </c>
      <c r="E502">
        <v>2</v>
      </c>
      <c r="F502">
        <v>165.9</v>
      </c>
      <c r="G502">
        <v>331.8</v>
      </c>
      <c r="H502">
        <v>99.54</v>
      </c>
      <c r="I502" s="1" t="s">
        <v>11</v>
      </c>
      <c r="J502">
        <v>21</v>
      </c>
      <c r="K502" s="1" t="s">
        <v>1492</v>
      </c>
      <c r="L502">
        <v>2025</v>
      </c>
    </row>
    <row r="503" spans="1:12" x14ac:dyDescent="0.3">
      <c r="A503" s="1" t="s">
        <v>886</v>
      </c>
      <c r="B503" s="4">
        <v>45392</v>
      </c>
      <c r="C503" s="1" t="s">
        <v>401</v>
      </c>
      <c r="D503" s="1" t="s">
        <v>145</v>
      </c>
      <c r="E503">
        <v>7</v>
      </c>
      <c r="F503">
        <v>180.47</v>
      </c>
      <c r="G503">
        <v>1263.29</v>
      </c>
      <c r="H503">
        <v>378.98699999999997</v>
      </c>
      <c r="I503" s="1" t="s">
        <v>15</v>
      </c>
      <c r="J503">
        <v>10</v>
      </c>
      <c r="K503" s="1" t="s">
        <v>1496</v>
      </c>
      <c r="L503">
        <v>2024</v>
      </c>
    </row>
    <row r="504" spans="1:12" x14ac:dyDescent="0.3">
      <c r="A504" s="1" t="s">
        <v>887</v>
      </c>
      <c r="B504" s="4">
        <v>45327</v>
      </c>
      <c r="C504" s="1" t="s">
        <v>496</v>
      </c>
      <c r="D504" s="1" t="s">
        <v>244</v>
      </c>
      <c r="E504">
        <v>1</v>
      </c>
      <c r="F504">
        <v>193.35</v>
      </c>
      <c r="G504">
        <v>193.35</v>
      </c>
      <c r="H504">
        <v>58.004999999999995</v>
      </c>
      <c r="I504" s="1" t="s">
        <v>11</v>
      </c>
      <c r="J504">
        <v>5</v>
      </c>
      <c r="K504" s="1" t="s">
        <v>1494</v>
      </c>
      <c r="L504">
        <v>2024</v>
      </c>
    </row>
    <row r="505" spans="1:12" x14ac:dyDescent="0.3">
      <c r="A505" s="1" t="s">
        <v>888</v>
      </c>
      <c r="B505" s="4">
        <v>45406</v>
      </c>
      <c r="C505" s="1" t="s">
        <v>834</v>
      </c>
      <c r="D505" s="1" t="s">
        <v>132</v>
      </c>
      <c r="E505">
        <v>3</v>
      </c>
      <c r="F505">
        <v>52.45</v>
      </c>
      <c r="G505">
        <v>157.35</v>
      </c>
      <c r="H505">
        <v>47.204999999999998</v>
      </c>
      <c r="I505" s="1" t="s">
        <v>15</v>
      </c>
      <c r="J505">
        <v>24</v>
      </c>
      <c r="K505" s="1" t="s">
        <v>1496</v>
      </c>
      <c r="L505">
        <v>2024</v>
      </c>
    </row>
    <row r="506" spans="1:12" x14ac:dyDescent="0.3">
      <c r="A506" s="1" t="s">
        <v>889</v>
      </c>
      <c r="B506" s="4">
        <v>46004</v>
      </c>
      <c r="C506" s="1" t="s">
        <v>749</v>
      </c>
      <c r="D506" s="1" t="s">
        <v>176</v>
      </c>
      <c r="E506">
        <v>8</v>
      </c>
      <c r="F506">
        <v>68.41</v>
      </c>
      <c r="G506">
        <v>547.28</v>
      </c>
      <c r="H506">
        <v>164.184</v>
      </c>
      <c r="I506" s="1" t="s">
        <v>19</v>
      </c>
      <c r="J506">
        <v>13</v>
      </c>
      <c r="K506" s="1" t="s">
        <v>1495</v>
      </c>
      <c r="L506">
        <v>2025</v>
      </c>
    </row>
    <row r="507" spans="1:12" x14ac:dyDescent="0.3">
      <c r="A507" s="1" t="s">
        <v>890</v>
      </c>
      <c r="B507" s="4">
        <v>45853</v>
      </c>
      <c r="C507" s="1" t="s">
        <v>285</v>
      </c>
      <c r="D507" s="1" t="s">
        <v>244</v>
      </c>
      <c r="E507">
        <v>3</v>
      </c>
      <c r="F507">
        <v>193.35</v>
      </c>
      <c r="G507">
        <v>580.04999999999995</v>
      </c>
      <c r="H507">
        <v>174.01499999999999</v>
      </c>
      <c r="I507" s="1" t="s">
        <v>15</v>
      </c>
      <c r="J507">
        <v>15</v>
      </c>
      <c r="K507" s="1" t="s">
        <v>1498</v>
      </c>
      <c r="L507">
        <v>2025</v>
      </c>
    </row>
    <row r="508" spans="1:12" x14ac:dyDescent="0.3">
      <c r="A508" s="1" t="s">
        <v>891</v>
      </c>
      <c r="B508" s="4">
        <v>45933</v>
      </c>
      <c r="C508" s="1" t="s">
        <v>348</v>
      </c>
      <c r="D508" s="1" t="s">
        <v>14</v>
      </c>
      <c r="E508">
        <v>9</v>
      </c>
      <c r="F508">
        <v>86.37</v>
      </c>
      <c r="G508">
        <v>777.33</v>
      </c>
      <c r="H508">
        <v>233.19900000000001</v>
      </c>
      <c r="I508" s="1" t="s">
        <v>19</v>
      </c>
      <c r="J508">
        <v>3</v>
      </c>
      <c r="K508" s="1" t="s">
        <v>1490</v>
      </c>
      <c r="L508">
        <v>2025</v>
      </c>
    </row>
    <row r="509" spans="1:12" x14ac:dyDescent="0.3">
      <c r="A509" s="1" t="s">
        <v>892</v>
      </c>
      <c r="B509" s="4">
        <v>45555</v>
      </c>
      <c r="C509" s="1" t="s">
        <v>423</v>
      </c>
      <c r="D509" s="1" t="s">
        <v>18</v>
      </c>
      <c r="E509">
        <v>3</v>
      </c>
      <c r="F509">
        <v>185.22</v>
      </c>
      <c r="G509">
        <v>555.66</v>
      </c>
      <c r="H509">
        <v>166.69799999999998</v>
      </c>
      <c r="I509" s="1" t="s">
        <v>36</v>
      </c>
      <c r="J509">
        <v>20</v>
      </c>
      <c r="K509" s="1" t="s">
        <v>1501</v>
      </c>
      <c r="L509">
        <v>2024</v>
      </c>
    </row>
    <row r="510" spans="1:12" x14ac:dyDescent="0.3">
      <c r="A510" s="1" t="s">
        <v>893</v>
      </c>
      <c r="B510" s="4">
        <v>45321</v>
      </c>
      <c r="C510" s="1" t="s">
        <v>894</v>
      </c>
      <c r="D510" s="1" t="s">
        <v>156</v>
      </c>
      <c r="E510">
        <v>8</v>
      </c>
      <c r="F510">
        <v>182.55</v>
      </c>
      <c r="G510">
        <v>1460.4</v>
      </c>
      <c r="H510">
        <v>438.12</v>
      </c>
      <c r="I510" s="1" t="s">
        <v>36</v>
      </c>
      <c r="J510">
        <v>30</v>
      </c>
      <c r="K510" s="1" t="s">
        <v>1493</v>
      </c>
      <c r="L510">
        <v>2024</v>
      </c>
    </row>
    <row r="511" spans="1:12" x14ac:dyDescent="0.3">
      <c r="A511" s="1" t="s">
        <v>895</v>
      </c>
      <c r="B511" s="4">
        <v>45605</v>
      </c>
      <c r="C511" s="1" t="s">
        <v>406</v>
      </c>
      <c r="D511" s="1" t="s">
        <v>14</v>
      </c>
      <c r="E511">
        <v>4</v>
      </c>
      <c r="F511">
        <v>86.37</v>
      </c>
      <c r="G511">
        <v>345.48</v>
      </c>
      <c r="H511">
        <v>103.64400000000001</v>
      </c>
      <c r="I511" s="1" t="s">
        <v>36</v>
      </c>
      <c r="J511">
        <v>9</v>
      </c>
      <c r="K511" s="1" t="s">
        <v>1500</v>
      </c>
      <c r="L511">
        <v>2024</v>
      </c>
    </row>
    <row r="512" spans="1:12" x14ac:dyDescent="0.3">
      <c r="A512" s="1" t="s">
        <v>896</v>
      </c>
      <c r="B512" s="4">
        <v>45653</v>
      </c>
      <c r="C512" s="1" t="s">
        <v>160</v>
      </c>
      <c r="D512" s="1" t="s">
        <v>151</v>
      </c>
      <c r="E512">
        <v>5</v>
      </c>
      <c r="F512">
        <v>89.88</v>
      </c>
      <c r="G512">
        <v>449.4</v>
      </c>
      <c r="H512">
        <v>134.82</v>
      </c>
      <c r="I512" s="1" t="s">
        <v>19</v>
      </c>
      <c r="J512">
        <v>27</v>
      </c>
      <c r="K512" s="1" t="s">
        <v>1495</v>
      </c>
      <c r="L512">
        <v>2024</v>
      </c>
    </row>
    <row r="513" spans="1:12" x14ac:dyDescent="0.3">
      <c r="A513" s="1" t="s">
        <v>897</v>
      </c>
      <c r="B513" s="4">
        <v>45680</v>
      </c>
      <c r="C513" s="1" t="s">
        <v>898</v>
      </c>
      <c r="D513" s="1" t="s">
        <v>339</v>
      </c>
      <c r="E513">
        <v>7</v>
      </c>
      <c r="F513">
        <v>73.89</v>
      </c>
      <c r="G513">
        <v>517.23</v>
      </c>
      <c r="H513">
        <v>155.16900000000001</v>
      </c>
      <c r="I513" s="1" t="s">
        <v>36</v>
      </c>
      <c r="J513">
        <v>23</v>
      </c>
      <c r="K513" s="1" t="s">
        <v>1493</v>
      </c>
      <c r="L513">
        <v>2025</v>
      </c>
    </row>
    <row r="514" spans="1:12" x14ac:dyDescent="0.3">
      <c r="A514" s="1" t="s">
        <v>899</v>
      </c>
      <c r="B514" s="4">
        <v>45845</v>
      </c>
      <c r="C514" s="1" t="s">
        <v>98</v>
      </c>
      <c r="D514" s="1" t="s">
        <v>88</v>
      </c>
      <c r="E514">
        <v>2</v>
      </c>
      <c r="F514">
        <v>162.21</v>
      </c>
      <c r="G514">
        <v>324.42</v>
      </c>
      <c r="H514">
        <v>97.326000000000008</v>
      </c>
      <c r="I514" s="1" t="s">
        <v>11</v>
      </c>
      <c r="J514">
        <v>7</v>
      </c>
      <c r="K514" s="1" t="s">
        <v>1498</v>
      </c>
      <c r="L514">
        <v>2025</v>
      </c>
    </row>
    <row r="515" spans="1:12" x14ac:dyDescent="0.3">
      <c r="A515" s="1" t="s">
        <v>900</v>
      </c>
      <c r="B515" s="4">
        <v>45903</v>
      </c>
      <c r="C515" s="1" t="s">
        <v>272</v>
      </c>
      <c r="D515" s="1" t="s">
        <v>193</v>
      </c>
      <c r="E515">
        <v>10</v>
      </c>
      <c r="F515">
        <v>157.13</v>
      </c>
      <c r="G515">
        <v>1571.3</v>
      </c>
      <c r="H515">
        <v>471.39</v>
      </c>
      <c r="I515" s="1" t="s">
        <v>11</v>
      </c>
      <c r="J515">
        <v>3</v>
      </c>
      <c r="K515" s="1" t="s">
        <v>1501</v>
      </c>
      <c r="L515">
        <v>2025</v>
      </c>
    </row>
    <row r="516" spans="1:12" x14ac:dyDescent="0.3">
      <c r="A516" s="1" t="s">
        <v>901</v>
      </c>
      <c r="B516" s="4">
        <v>45856</v>
      </c>
      <c r="C516" s="1" t="s">
        <v>155</v>
      </c>
      <c r="D516" s="1" t="s">
        <v>165</v>
      </c>
      <c r="E516">
        <v>4</v>
      </c>
      <c r="F516">
        <v>29.47</v>
      </c>
      <c r="G516">
        <v>117.88</v>
      </c>
      <c r="H516">
        <v>35.363999999999997</v>
      </c>
      <c r="I516" s="1" t="s">
        <v>19</v>
      </c>
      <c r="J516">
        <v>18</v>
      </c>
      <c r="K516" s="1" t="s">
        <v>1498</v>
      </c>
      <c r="L516">
        <v>2025</v>
      </c>
    </row>
    <row r="517" spans="1:12" x14ac:dyDescent="0.3">
      <c r="A517" s="1" t="s">
        <v>902</v>
      </c>
      <c r="B517" s="4">
        <v>45576</v>
      </c>
      <c r="C517" s="1" t="s">
        <v>903</v>
      </c>
      <c r="D517" s="1" t="s">
        <v>83</v>
      </c>
      <c r="E517">
        <v>10</v>
      </c>
      <c r="F517">
        <v>28.49</v>
      </c>
      <c r="G517">
        <v>284.89999999999998</v>
      </c>
      <c r="H517">
        <v>85.469999999999985</v>
      </c>
      <c r="I517" s="1" t="s">
        <v>19</v>
      </c>
      <c r="J517">
        <v>11</v>
      </c>
      <c r="K517" s="1" t="s">
        <v>1490</v>
      </c>
      <c r="L517">
        <v>2024</v>
      </c>
    </row>
    <row r="518" spans="1:12" x14ac:dyDescent="0.3">
      <c r="A518" s="1" t="s">
        <v>904</v>
      </c>
      <c r="B518" s="4">
        <v>45450</v>
      </c>
      <c r="C518" s="1" t="s">
        <v>225</v>
      </c>
      <c r="D518" s="1" t="s">
        <v>67</v>
      </c>
      <c r="E518">
        <v>1</v>
      </c>
      <c r="F518">
        <v>29.94</v>
      </c>
      <c r="G518">
        <v>29.94</v>
      </c>
      <c r="H518">
        <v>8.9819999999999993</v>
      </c>
      <c r="I518" s="1" t="s">
        <v>11</v>
      </c>
      <c r="J518">
        <v>7</v>
      </c>
      <c r="K518" s="1" t="s">
        <v>1497</v>
      </c>
      <c r="L518">
        <v>2024</v>
      </c>
    </row>
    <row r="519" spans="1:12" x14ac:dyDescent="0.3">
      <c r="A519" s="1" t="s">
        <v>905</v>
      </c>
      <c r="B519" s="4">
        <v>45310</v>
      </c>
      <c r="C519" s="1" t="s">
        <v>792</v>
      </c>
      <c r="D519" s="1" t="s">
        <v>30</v>
      </c>
      <c r="E519">
        <v>3</v>
      </c>
      <c r="F519">
        <v>74.61</v>
      </c>
      <c r="G519">
        <v>223.83</v>
      </c>
      <c r="H519">
        <v>67.149000000000001</v>
      </c>
      <c r="I519" s="1" t="s">
        <v>36</v>
      </c>
      <c r="J519">
        <v>19</v>
      </c>
      <c r="K519" s="1" t="s">
        <v>1493</v>
      </c>
      <c r="L519">
        <v>2024</v>
      </c>
    </row>
    <row r="520" spans="1:12" x14ac:dyDescent="0.3">
      <c r="A520" s="1" t="s">
        <v>906</v>
      </c>
      <c r="B520" s="4">
        <v>45978</v>
      </c>
      <c r="C520" s="1" t="s">
        <v>160</v>
      </c>
      <c r="D520" s="1" t="s">
        <v>368</v>
      </c>
      <c r="E520">
        <v>4</v>
      </c>
      <c r="F520">
        <v>34.369999999999997</v>
      </c>
      <c r="G520">
        <v>137.47999999999999</v>
      </c>
      <c r="H520">
        <v>41.243999999999993</v>
      </c>
      <c r="I520" s="1" t="s">
        <v>11</v>
      </c>
      <c r="J520">
        <v>17</v>
      </c>
      <c r="K520" s="1" t="s">
        <v>1500</v>
      </c>
      <c r="L520">
        <v>2025</v>
      </c>
    </row>
    <row r="521" spans="1:12" x14ac:dyDescent="0.3">
      <c r="A521" s="1" t="s">
        <v>907</v>
      </c>
      <c r="B521" s="4">
        <v>45318</v>
      </c>
      <c r="C521" s="1" t="s">
        <v>21</v>
      </c>
      <c r="D521" s="1" t="s">
        <v>332</v>
      </c>
      <c r="E521">
        <v>10</v>
      </c>
      <c r="F521">
        <v>115.1</v>
      </c>
      <c r="G521">
        <v>1151</v>
      </c>
      <c r="H521">
        <v>345.3</v>
      </c>
      <c r="I521" s="1" t="s">
        <v>36</v>
      </c>
      <c r="J521">
        <v>27</v>
      </c>
      <c r="K521" s="1" t="s">
        <v>1493</v>
      </c>
      <c r="L521">
        <v>2024</v>
      </c>
    </row>
    <row r="522" spans="1:12" x14ac:dyDescent="0.3">
      <c r="A522" s="1" t="s">
        <v>908</v>
      </c>
      <c r="B522" s="4">
        <v>45531</v>
      </c>
      <c r="C522" s="1" t="s">
        <v>410</v>
      </c>
      <c r="D522" s="1" t="s">
        <v>176</v>
      </c>
      <c r="E522">
        <v>9</v>
      </c>
      <c r="F522">
        <v>68.41</v>
      </c>
      <c r="G522">
        <v>615.69000000000005</v>
      </c>
      <c r="H522">
        <v>184.70700000000002</v>
      </c>
      <c r="I522" s="1" t="s">
        <v>11</v>
      </c>
      <c r="J522">
        <v>27</v>
      </c>
      <c r="K522" s="1" t="s">
        <v>1499</v>
      </c>
      <c r="L522">
        <v>2024</v>
      </c>
    </row>
    <row r="523" spans="1:12" x14ac:dyDescent="0.3">
      <c r="A523" s="1" t="s">
        <v>909</v>
      </c>
      <c r="B523" s="4">
        <v>45322</v>
      </c>
      <c r="C523" s="1" t="s">
        <v>272</v>
      </c>
      <c r="D523" s="1" t="s">
        <v>151</v>
      </c>
      <c r="E523">
        <v>5</v>
      </c>
      <c r="F523">
        <v>89.88</v>
      </c>
      <c r="G523">
        <v>449.4</v>
      </c>
      <c r="H523">
        <v>134.82</v>
      </c>
      <c r="I523" s="1" t="s">
        <v>36</v>
      </c>
      <c r="J523">
        <v>31</v>
      </c>
      <c r="K523" s="1" t="s">
        <v>1493</v>
      </c>
      <c r="L523">
        <v>2024</v>
      </c>
    </row>
    <row r="524" spans="1:12" x14ac:dyDescent="0.3">
      <c r="A524" s="1" t="s">
        <v>910</v>
      </c>
      <c r="B524" s="4">
        <v>45530</v>
      </c>
      <c r="C524" s="1" t="s">
        <v>664</v>
      </c>
      <c r="D524" s="1" t="s">
        <v>132</v>
      </c>
      <c r="E524">
        <v>1</v>
      </c>
      <c r="F524">
        <v>52.45</v>
      </c>
      <c r="G524">
        <v>52.45</v>
      </c>
      <c r="H524">
        <v>15.734999999999999</v>
      </c>
      <c r="I524" s="1" t="s">
        <v>19</v>
      </c>
      <c r="J524">
        <v>26</v>
      </c>
      <c r="K524" s="1" t="s">
        <v>1499</v>
      </c>
      <c r="L524">
        <v>2024</v>
      </c>
    </row>
    <row r="525" spans="1:12" x14ac:dyDescent="0.3">
      <c r="A525" s="1" t="s">
        <v>911</v>
      </c>
      <c r="B525" s="4">
        <v>45600</v>
      </c>
      <c r="C525" s="1" t="s">
        <v>459</v>
      </c>
      <c r="D525" s="1" t="s">
        <v>48</v>
      </c>
      <c r="E525">
        <v>9</v>
      </c>
      <c r="F525">
        <v>17.64</v>
      </c>
      <c r="G525">
        <v>158.76</v>
      </c>
      <c r="H525">
        <v>47.627999999999993</v>
      </c>
      <c r="I525" s="1" t="s">
        <v>19</v>
      </c>
      <c r="J525">
        <v>4</v>
      </c>
      <c r="K525" s="1" t="s">
        <v>1500</v>
      </c>
      <c r="L525">
        <v>2024</v>
      </c>
    </row>
    <row r="526" spans="1:12" x14ac:dyDescent="0.3">
      <c r="A526" s="1" t="s">
        <v>912</v>
      </c>
      <c r="B526" s="4">
        <v>45811</v>
      </c>
      <c r="C526" s="1" t="s">
        <v>106</v>
      </c>
      <c r="D526" s="1" t="s">
        <v>57</v>
      </c>
      <c r="E526">
        <v>2</v>
      </c>
      <c r="F526">
        <v>38.93</v>
      </c>
      <c r="G526">
        <v>77.86</v>
      </c>
      <c r="H526">
        <v>23.358000000000001</v>
      </c>
      <c r="I526" s="1" t="s">
        <v>15</v>
      </c>
      <c r="J526">
        <v>3</v>
      </c>
      <c r="K526" s="1" t="s">
        <v>1497</v>
      </c>
      <c r="L526">
        <v>2025</v>
      </c>
    </row>
    <row r="527" spans="1:12" x14ac:dyDescent="0.3">
      <c r="A527" s="1" t="s">
        <v>913</v>
      </c>
      <c r="B527" s="4">
        <v>45953</v>
      </c>
      <c r="C527" s="1" t="s">
        <v>652</v>
      </c>
      <c r="D527" s="1" t="s">
        <v>88</v>
      </c>
      <c r="E527">
        <v>6</v>
      </c>
      <c r="F527">
        <v>162.21</v>
      </c>
      <c r="G527">
        <v>973.26</v>
      </c>
      <c r="H527">
        <v>291.97800000000001</v>
      </c>
      <c r="I527" s="1" t="s">
        <v>19</v>
      </c>
      <c r="J527">
        <v>23</v>
      </c>
      <c r="K527" s="1" t="s">
        <v>1490</v>
      </c>
      <c r="L527">
        <v>2025</v>
      </c>
    </row>
    <row r="528" spans="1:12" x14ac:dyDescent="0.3">
      <c r="A528" s="1" t="s">
        <v>914</v>
      </c>
      <c r="B528" s="4">
        <v>45328</v>
      </c>
      <c r="C528" s="1" t="s">
        <v>288</v>
      </c>
      <c r="D528" s="1" t="s">
        <v>339</v>
      </c>
      <c r="E528">
        <v>7</v>
      </c>
      <c r="F528">
        <v>73.89</v>
      </c>
      <c r="G528">
        <v>517.23</v>
      </c>
      <c r="H528">
        <v>155.16900000000001</v>
      </c>
      <c r="I528" s="1" t="s">
        <v>11</v>
      </c>
      <c r="J528">
        <v>6</v>
      </c>
      <c r="K528" s="1" t="s">
        <v>1494</v>
      </c>
      <c r="L528">
        <v>2024</v>
      </c>
    </row>
    <row r="529" spans="1:12" x14ac:dyDescent="0.3">
      <c r="A529" s="1" t="s">
        <v>915</v>
      </c>
      <c r="B529" s="4">
        <v>45751</v>
      </c>
      <c r="C529" s="1" t="s">
        <v>539</v>
      </c>
      <c r="D529" s="1" t="s">
        <v>111</v>
      </c>
      <c r="E529">
        <v>1</v>
      </c>
      <c r="F529">
        <v>91.3</v>
      </c>
      <c r="G529">
        <v>91.3</v>
      </c>
      <c r="H529">
        <v>27.389999999999997</v>
      </c>
      <c r="I529" s="1" t="s">
        <v>36</v>
      </c>
      <c r="J529">
        <v>4</v>
      </c>
      <c r="K529" s="1" t="s">
        <v>1496</v>
      </c>
      <c r="L529">
        <v>2025</v>
      </c>
    </row>
    <row r="530" spans="1:12" x14ac:dyDescent="0.3">
      <c r="A530" s="1" t="s">
        <v>916</v>
      </c>
      <c r="B530" s="4">
        <v>45859</v>
      </c>
      <c r="C530" s="1" t="s">
        <v>26</v>
      </c>
      <c r="D530" s="1" t="s">
        <v>132</v>
      </c>
      <c r="E530">
        <v>3</v>
      </c>
      <c r="F530">
        <v>52.45</v>
      </c>
      <c r="G530">
        <v>157.35</v>
      </c>
      <c r="H530">
        <v>47.204999999999998</v>
      </c>
      <c r="I530" s="1" t="s">
        <v>36</v>
      </c>
      <c r="J530">
        <v>21</v>
      </c>
      <c r="K530" s="1" t="s">
        <v>1498</v>
      </c>
      <c r="L530">
        <v>2025</v>
      </c>
    </row>
    <row r="531" spans="1:12" x14ac:dyDescent="0.3">
      <c r="A531" s="1" t="s">
        <v>917</v>
      </c>
      <c r="B531" s="4">
        <v>45375</v>
      </c>
      <c r="C531" s="1" t="s">
        <v>303</v>
      </c>
      <c r="D531" s="1" t="s">
        <v>83</v>
      </c>
      <c r="E531">
        <v>4</v>
      </c>
      <c r="F531">
        <v>28.49</v>
      </c>
      <c r="G531">
        <v>113.96</v>
      </c>
      <c r="H531">
        <v>34.187999999999995</v>
      </c>
      <c r="I531" s="1" t="s">
        <v>11</v>
      </c>
      <c r="J531">
        <v>24</v>
      </c>
      <c r="K531" s="1" t="s">
        <v>1491</v>
      </c>
      <c r="L531">
        <v>2024</v>
      </c>
    </row>
    <row r="532" spans="1:12" x14ac:dyDescent="0.3">
      <c r="A532" s="1" t="s">
        <v>918</v>
      </c>
      <c r="B532" s="4">
        <v>45793</v>
      </c>
      <c r="C532" s="1" t="s">
        <v>774</v>
      </c>
      <c r="D532" s="1" t="s">
        <v>114</v>
      </c>
      <c r="E532">
        <v>7</v>
      </c>
      <c r="F532">
        <v>195.89</v>
      </c>
      <c r="G532">
        <v>1371.23</v>
      </c>
      <c r="H532">
        <v>411.36899999999997</v>
      </c>
      <c r="I532" s="1" t="s">
        <v>15</v>
      </c>
      <c r="J532">
        <v>16</v>
      </c>
      <c r="K532" s="1" t="s">
        <v>1492</v>
      </c>
      <c r="L532">
        <v>2025</v>
      </c>
    </row>
    <row r="533" spans="1:12" x14ac:dyDescent="0.3">
      <c r="A533" s="1" t="s">
        <v>919</v>
      </c>
      <c r="B533" s="4">
        <v>45298</v>
      </c>
      <c r="C533" s="1" t="s">
        <v>660</v>
      </c>
      <c r="D533" s="1" t="s">
        <v>132</v>
      </c>
      <c r="E533">
        <v>10</v>
      </c>
      <c r="F533">
        <v>52.45</v>
      </c>
      <c r="G533">
        <v>524.5</v>
      </c>
      <c r="H533">
        <v>157.35</v>
      </c>
      <c r="I533" s="1" t="s">
        <v>36</v>
      </c>
      <c r="J533">
        <v>7</v>
      </c>
      <c r="K533" s="1" t="s">
        <v>1493</v>
      </c>
      <c r="L533">
        <v>2024</v>
      </c>
    </row>
    <row r="534" spans="1:12" x14ac:dyDescent="0.3">
      <c r="A534" s="1" t="s">
        <v>920</v>
      </c>
      <c r="B534" s="4">
        <v>45387</v>
      </c>
      <c r="C534" s="1" t="s">
        <v>921</v>
      </c>
      <c r="D534" s="1" t="s">
        <v>14</v>
      </c>
      <c r="E534">
        <v>10</v>
      </c>
      <c r="F534">
        <v>86.37</v>
      </c>
      <c r="G534">
        <v>863.7</v>
      </c>
      <c r="H534">
        <v>259.11</v>
      </c>
      <c r="I534" s="1" t="s">
        <v>36</v>
      </c>
      <c r="J534">
        <v>5</v>
      </c>
      <c r="K534" s="1" t="s">
        <v>1496</v>
      </c>
      <c r="L534">
        <v>2024</v>
      </c>
    </row>
    <row r="535" spans="1:12" x14ac:dyDescent="0.3">
      <c r="A535" s="1" t="s">
        <v>922</v>
      </c>
      <c r="B535" s="4">
        <v>45684</v>
      </c>
      <c r="C535" s="1" t="s">
        <v>429</v>
      </c>
      <c r="D535" s="1" t="s">
        <v>332</v>
      </c>
      <c r="E535">
        <v>9</v>
      </c>
      <c r="F535">
        <v>115.1</v>
      </c>
      <c r="G535">
        <v>1035.9000000000001</v>
      </c>
      <c r="H535">
        <v>310.77000000000004</v>
      </c>
      <c r="I535" s="1" t="s">
        <v>36</v>
      </c>
      <c r="J535">
        <v>27</v>
      </c>
      <c r="K535" s="1" t="s">
        <v>1493</v>
      </c>
      <c r="L535">
        <v>2025</v>
      </c>
    </row>
    <row r="536" spans="1:12" x14ac:dyDescent="0.3">
      <c r="A536" s="1" t="s">
        <v>923</v>
      </c>
      <c r="B536" s="4">
        <v>45505</v>
      </c>
      <c r="C536" s="1" t="s">
        <v>98</v>
      </c>
      <c r="D536" s="1" t="s">
        <v>151</v>
      </c>
      <c r="E536">
        <v>3</v>
      </c>
      <c r="F536">
        <v>89.88</v>
      </c>
      <c r="G536">
        <v>269.64</v>
      </c>
      <c r="H536">
        <v>80.891999999999996</v>
      </c>
      <c r="I536" s="1" t="s">
        <v>11</v>
      </c>
      <c r="J536">
        <v>1</v>
      </c>
      <c r="K536" s="1" t="s">
        <v>1499</v>
      </c>
      <c r="L536">
        <v>2024</v>
      </c>
    </row>
    <row r="537" spans="1:12" x14ac:dyDescent="0.3">
      <c r="A537" s="1" t="s">
        <v>924</v>
      </c>
      <c r="B537" s="4">
        <v>45481</v>
      </c>
      <c r="C537" s="1" t="s">
        <v>254</v>
      </c>
      <c r="D537" s="1" t="s">
        <v>51</v>
      </c>
      <c r="E537">
        <v>4</v>
      </c>
      <c r="F537">
        <v>64.62</v>
      </c>
      <c r="G537">
        <v>258.48</v>
      </c>
      <c r="H537">
        <v>77.543999999999997</v>
      </c>
      <c r="I537" s="1" t="s">
        <v>36</v>
      </c>
      <c r="J537">
        <v>8</v>
      </c>
      <c r="K537" s="1" t="s">
        <v>1498</v>
      </c>
      <c r="L537">
        <v>2024</v>
      </c>
    </row>
    <row r="538" spans="1:12" x14ac:dyDescent="0.3">
      <c r="A538" s="1" t="s">
        <v>925</v>
      </c>
      <c r="B538" s="4">
        <v>45694</v>
      </c>
      <c r="C538" s="1" t="s">
        <v>926</v>
      </c>
      <c r="D538" s="1" t="s">
        <v>75</v>
      </c>
      <c r="E538">
        <v>7</v>
      </c>
      <c r="F538">
        <v>49.95</v>
      </c>
      <c r="G538">
        <v>349.65</v>
      </c>
      <c r="H538">
        <v>104.895</v>
      </c>
      <c r="I538" s="1" t="s">
        <v>11</v>
      </c>
      <c r="J538">
        <v>6</v>
      </c>
      <c r="K538" s="1" t="s">
        <v>1494</v>
      </c>
      <c r="L538">
        <v>2025</v>
      </c>
    </row>
    <row r="539" spans="1:12" x14ac:dyDescent="0.3">
      <c r="A539" s="1" t="s">
        <v>927</v>
      </c>
      <c r="B539" s="4">
        <v>45574</v>
      </c>
      <c r="C539" s="1" t="s">
        <v>715</v>
      </c>
      <c r="D539" s="1" t="s">
        <v>221</v>
      </c>
      <c r="E539">
        <v>9</v>
      </c>
      <c r="F539">
        <v>108.19</v>
      </c>
      <c r="G539">
        <v>973.71</v>
      </c>
      <c r="H539">
        <v>292.113</v>
      </c>
      <c r="I539" s="1" t="s">
        <v>11</v>
      </c>
      <c r="J539">
        <v>9</v>
      </c>
      <c r="K539" s="1" t="s">
        <v>1490</v>
      </c>
      <c r="L539">
        <v>2024</v>
      </c>
    </row>
    <row r="540" spans="1:12" x14ac:dyDescent="0.3">
      <c r="A540" s="1" t="s">
        <v>928</v>
      </c>
      <c r="B540" s="4">
        <v>45986</v>
      </c>
      <c r="C540" s="1" t="s">
        <v>434</v>
      </c>
      <c r="D540" s="1" t="s">
        <v>148</v>
      </c>
      <c r="E540">
        <v>8</v>
      </c>
      <c r="F540">
        <v>118.95</v>
      </c>
      <c r="G540">
        <v>951.6</v>
      </c>
      <c r="H540">
        <v>285.48</v>
      </c>
      <c r="I540" s="1" t="s">
        <v>36</v>
      </c>
      <c r="J540">
        <v>25</v>
      </c>
      <c r="K540" s="1" t="s">
        <v>1500</v>
      </c>
      <c r="L540">
        <v>2025</v>
      </c>
    </row>
    <row r="541" spans="1:12" x14ac:dyDescent="0.3">
      <c r="A541" s="1" t="s">
        <v>929</v>
      </c>
      <c r="B541" s="4">
        <v>45588</v>
      </c>
      <c r="C541" s="1" t="s">
        <v>66</v>
      </c>
      <c r="D541" s="1" t="s">
        <v>51</v>
      </c>
      <c r="E541">
        <v>6</v>
      </c>
      <c r="F541">
        <v>64.62</v>
      </c>
      <c r="G541">
        <v>387.72</v>
      </c>
      <c r="H541">
        <v>116.316</v>
      </c>
      <c r="I541" s="1" t="s">
        <v>11</v>
      </c>
      <c r="J541">
        <v>23</v>
      </c>
      <c r="K541" s="1" t="s">
        <v>1490</v>
      </c>
      <c r="L541">
        <v>2024</v>
      </c>
    </row>
    <row r="542" spans="1:12" x14ac:dyDescent="0.3">
      <c r="A542" s="1" t="s">
        <v>930</v>
      </c>
      <c r="B542" s="4">
        <v>45741</v>
      </c>
      <c r="C542" s="1" t="s">
        <v>94</v>
      </c>
      <c r="D542" s="1" t="s">
        <v>228</v>
      </c>
      <c r="E542">
        <v>5</v>
      </c>
      <c r="F542">
        <v>104.84</v>
      </c>
      <c r="G542">
        <v>524.20000000000005</v>
      </c>
      <c r="H542">
        <v>157.26000000000002</v>
      </c>
      <c r="I542" s="1" t="s">
        <v>19</v>
      </c>
      <c r="J542">
        <v>25</v>
      </c>
      <c r="K542" s="1" t="s">
        <v>1491</v>
      </c>
      <c r="L542">
        <v>2025</v>
      </c>
    </row>
    <row r="543" spans="1:12" x14ac:dyDescent="0.3">
      <c r="A543" s="1" t="s">
        <v>931</v>
      </c>
      <c r="B543" s="4">
        <v>45804</v>
      </c>
      <c r="C543" s="1" t="s">
        <v>932</v>
      </c>
      <c r="D543" s="1" t="s">
        <v>246</v>
      </c>
      <c r="E543">
        <v>2</v>
      </c>
      <c r="F543">
        <v>17.22</v>
      </c>
      <c r="G543">
        <v>34.44</v>
      </c>
      <c r="H543">
        <v>10.331999999999999</v>
      </c>
      <c r="I543" s="1" t="s">
        <v>19</v>
      </c>
      <c r="J543">
        <v>27</v>
      </c>
      <c r="K543" s="1" t="s">
        <v>1492</v>
      </c>
      <c r="L543">
        <v>2025</v>
      </c>
    </row>
    <row r="544" spans="1:12" x14ac:dyDescent="0.3">
      <c r="A544" s="1" t="s">
        <v>933</v>
      </c>
      <c r="B544" s="4">
        <v>45789</v>
      </c>
      <c r="C544" s="1" t="s">
        <v>274</v>
      </c>
      <c r="D544" s="1" t="s">
        <v>111</v>
      </c>
      <c r="E544">
        <v>2</v>
      </c>
      <c r="F544">
        <v>91.3</v>
      </c>
      <c r="G544">
        <v>182.6</v>
      </c>
      <c r="H544">
        <v>54.779999999999994</v>
      </c>
      <c r="I544" s="1" t="s">
        <v>19</v>
      </c>
      <c r="J544">
        <v>12</v>
      </c>
      <c r="K544" s="1" t="s">
        <v>1492</v>
      </c>
      <c r="L544">
        <v>2025</v>
      </c>
    </row>
    <row r="545" spans="1:12" x14ac:dyDescent="0.3">
      <c r="A545" s="1" t="s">
        <v>934</v>
      </c>
      <c r="B545" s="4">
        <v>45918</v>
      </c>
      <c r="C545" s="1" t="s">
        <v>666</v>
      </c>
      <c r="D545" s="1" t="s">
        <v>151</v>
      </c>
      <c r="E545">
        <v>4</v>
      </c>
      <c r="F545">
        <v>89.88</v>
      </c>
      <c r="G545">
        <v>359.52</v>
      </c>
      <c r="H545">
        <v>107.85599999999999</v>
      </c>
      <c r="I545" s="1" t="s">
        <v>15</v>
      </c>
      <c r="J545">
        <v>18</v>
      </c>
      <c r="K545" s="1" t="s">
        <v>1501</v>
      </c>
      <c r="L545">
        <v>2025</v>
      </c>
    </row>
    <row r="546" spans="1:12" x14ac:dyDescent="0.3">
      <c r="A546" s="1" t="s">
        <v>935</v>
      </c>
      <c r="B546" s="4">
        <v>45446</v>
      </c>
      <c r="C546" s="1" t="s">
        <v>599</v>
      </c>
      <c r="D546" s="1" t="s">
        <v>39</v>
      </c>
      <c r="E546">
        <v>9</v>
      </c>
      <c r="F546">
        <v>18.850000000000001</v>
      </c>
      <c r="G546">
        <v>169.65</v>
      </c>
      <c r="H546">
        <v>50.895000000000003</v>
      </c>
      <c r="I546" s="1" t="s">
        <v>19</v>
      </c>
      <c r="J546">
        <v>3</v>
      </c>
      <c r="K546" s="1" t="s">
        <v>1497</v>
      </c>
      <c r="L546">
        <v>2024</v>
      </c>
    </row>
    <row r="547" spans="1:12" x14ac:dyDescent="0.3">
      <c r="A547" s="1" t="s">
        <v>936</v>
      </c>
      <c r="B547" s="4">
        <v>45413</v>
      </c>
      <c r="C547" s="1" t="s">
        <v>684</v>
      </c>
      <c r="D547" s="1" t="s">
        <v>145</v>
      </c>
      <c r="E547">
        <v>5</v>
      </c>
      <c r="F547">
        <v>180.47</v>
      </c>
      <c r="G547">
        <v>902.35</v>
      </c>
      <c r="H547">
        <v>270.70499999999998</v>
      </c>
      <c r="I547" s="1" t="s">
        <v>11</v>
      </c>
      <c r="J547">
        <v>1</v>
      </c>
      <c r="K547" s="1" t="s">
        <v>1492</v>
      </c>
      <c r="L547">
        <v>2024</v>
      </c>
    </row>
    <row r="548" spans="1:12" x14ac:dyDescent="0.3">
      <c r="A548" s="1" t="s">
        <v>937</v>
      </c>
      <c r="B548" s="4">
        <v>45872</v>
      </c>
      <c r="C548" s="1" t="s">
        <v>938</v>
      </c>
      <c r="D548" s="1" t="s">
        <v>339</v>
      </c>
      <c r="E548">
        <v>7</v>
      </c>
      <c r="F548">
        <v>73.89</v>
      </c>
      <c r="G548">
        <v>517.23</v>
      </c>
      <c r="H548">
        <v>155.16900000000001</v>
      </c>
      <c r="I548" s="1" t="s">
        <v>36</v>
      </c>
      <c r="J548">
        <v>3</v>
      </c>
      <c r="K548" s="1" t="s">
        <v>1499</v>
      </c>
      <c r="L548">
        <v>2025</v>
      </c>
    </row>
    <row r="549" spans="1:12" x14ac:dyDescent="0.3">
      <c r="A549" s="1" t="s">
        <v>939</v>
      </c>
      <c r="B549" s="4">
        <v>45875</v>
      </c>
      <c r="C549" s="1" t="s">
        <v>940</v>
      </c>
      <c r="D549" s="1" t="s">
        <v>151</v>
      </c>
      <c r="E549">
        <v>3</v>
      </c>
      <c r="F549">
        <v>89.88</v>
      </c>
      <c r="G549">
        <v>269.64</v>
      </c>
      <c r="H549">
        <v>80.891999999999996</v>
      </c>
      <c r="I549" s="1" t="s">
        <v>15</v>
      </c>
      <c r="J549">
        <v>6</v>
      </c>
      <c r="K549" s="1" t="s">
        <v>1499</v>
      </c>
      <c r="L549">
        <v>2025</v>
      </c>
    </row>
    <row r="550" spans="1:12" x14ac:dyDescent="0.3">
      <c r="A550" s="1" t="s">
        <v>941</v>
      </c>
      <c r="B550" s="4">
        <v>45945</v>
      </c>
      <c r="C550" s="1" t="s">
        <v>533</v>
      </c>
      <c r="D550" s="1" t="s">
        <v>51</v>
      </c>
      <c r="E550">
        <v>2</v>
      </c>
      <c r="F550">
        <v>64.62</v>
      </c>
      <c r="G550">
        <v>129.24</v>
      </c>
      <c r="H550">
        <v>38.771999999999998</v>
      </c>
      <c r="I550" s="1" t="s">
        <v>36</v>
      </c>
      <c r="J550">
        <v>15</v>
      </c>
      <c r="K550" s="1" t="s">
        <v>1490</v>
      </c>
      <c r="L550">
        <v>2025</v>
      </c>
    </row>
    <row r="551" spans="1:12" x14ac:dyDescent="0.3">
      <c r="A551" s="1" t="s">
        <v>942</v>
      </c>
      <c r="B551" s="4">
        <v>45939</v>
      </c>
      <c r="C551" s="1" t="s">
        <v>943</v>
      </c>
      <c r="D551" s="1" t="s">
        <v>57</v>
      </c>
      <c r="E551">
        <v>7</v>
      </c>
      <c r="F551">
        <v>38.93</v>
      </c>
      <c r="G551">
        <v>272.51</v>
      </c>
      <c r="H551">
        <v>81.753</v>
      </c>
      <c r="I551" s="1" t="s">
        <v>19</v>
      </c>
      <c r="J551">
        <v>9</v>
      </c>
      <c r="K551" s="1" t="s">
        <v>1490</v>
      </c>
      <c r="L551">
        <v>2025</v>
      </c>
    </row>
    <row r="552" spans="1:12" x14ac:dyDescent="0.3">
      <c r="A552" s="1" t="s">
        <v>944</v>
      </c>
      <c r="B552" s="4">
        <v>45889</v>
      </c>
      <c r="C552" s="1" t="s">
        <v>442</v>
      </c>
      <c r="D552" s="1" t="s">
        <v>151</v>
      </c>
      <c r="E552">
        <v>4</v>
      </c>
      <c r="F552">
        <v>89.88</v>
      </c>
      <c r="G552">
        <v>359.52</v>
      </c>
      <c r="H552">
        <v>107.85599999999999</v>
      </c>
      <c r="I552" s="1" t="s">
        <v>11</v>
      </c>
      <c r="J552">
        <v>20</v>
      </c>
      <c r="K552" s="1" t="s">
        <v>1499</v>
      </c>
      <c r="L552">
        <v>2025</v>
      </c>
    </row>
    <row r="553" spans="1:12" x14ac:dyDescent="0.3">
      <c r="A553" s="1" t="s">
        <v>945</v>
      </c>
      <c r="B553" s="4">
        <v>45637</v>
      </c>
      <c r="C553" s="1" t="s">
        <v>946</v>
      </c>
      <c r="D553" s="1" t="s">
        <v>39</v>
      </c>
      <c r="E553">
        <v>5</v>
      </c>
      <c r="F553">
        <v>18.850000000000001</v>
      </c>
      <c r="G553">
        <v>94.25</v>
      </c>
      <c r="H553">
        <v>28.274999999999999</v>
      </c>
      <c r="I553" s="1" t="s">
        <v>36</v>
      </c>
      <c r="J553">
        <v>11</v>
      </c>
      <c r="K553" s="1" t="s">
        <v>1495</v>
      </c>
      <c r="L553">
        <v>2024</v>
      </c>
    </row>
    <row r="554" spans="1:12" x14ac:dyDescent="0.3">
      <c r="A554" s="1" t="s">
        <v>947</v>
      </c>
      <c r="B554" s="4">
        <v>45859</v>
      </c>
      <c r="C554" s="1" t="s">
        <v>877</v>
      </c>
      <c r="D554" s="1" t="s">
        <v>72</v>
      </c>
      <c r="E554">
        <v>10</v>
      </c>
      <c r="F554">
        <v>134.61000000000001</v>
      </c>
      <c r="G554">
        <v>1346.1</v>
      </c>
      <c r="H554">
        <v>403.83</v>
      </c>
      <c r="I554" s="1" t="s">
        <v>36</v>
      </c>
      <c r="J554">
        <v>21</v>
      </c>
      <c r="K554" s="1" t="s">
        <v>1498</v>
      </c>
      <c r="L554">
        <v>2025</v>
      </c>
    </row>
    <row r="555" spans="1:12" x14ac:dyDescent="0.3">
      <c r="A555" s="1" t="s">
        <v>948</v>
      </c>
      <c r="B555" s="4">
        <v>45764</v>
      </c>
      <c r="C555" s="1" t="s">
        <v>949</v>
      </c>
      <c r="D555" s="1" t="s">
        <v>114</v>
      </c>
      <c r="E555">
        <v>6</v>
      </c>
      <c r="F555">
        <v>195.89</v>
      </c>
      <c r="G555">
        <v>1175.3399999999999</v>
      </c>
      <c r="H555">
        <v>352.60199999999998</v>
      </c>
      <c r="I555" s="1" t="s">
        <v>19</v>
      </c>
      <c r="J555">
        <v>17</v>
      </c>
      <c r="K555" s="1" t="s">
        <v>1496</v>
      </c>
      <c r="L555">
        <v>2025</v>
      </c>
    </row>
    <row r="556" spans="1:12" x14ac:dyDescent="0.3">
      <c r="A556" s="1" t="s">
        <v>950</v>
      </c>
      <c r="B556" s="4">
        <v>45809</v>
      </c>
      <c r="C556" s="1" t="s">
        <v>129</v>
      </c>
      <c r="D556" s="1" t="s">
        <v>83</v>
      </c>
      <c r="E556">
        <v>6</v>
      </c>
      <c r="F556">
        <v>28.49</v>
      </c>
      <c r="G556">
        <v>170.94</v>
      </c>
      <c r="H556">
        <v>51.281999999999996</v>
      </c>
      <c r="I556" s="1" t="s">
        <v>15</v>
      </c>
      <c r="J556">
        <v>1</v>
      </c>
      <c r="K556" s="1" t="s">
        <v>1497</v>
      </c>
      <c r="L556">
        <v>2025</v>
      </c>
    </row>
    <row r="557" spans="1:12" x14ac:dyDescent="0.3">
      <c r="A557" s="1" t="s">
        <v>951</v>
      </c>
      <c r="B557" s="4">
        <v>45718</v>
      </c>
      <c r="C557" s="1" t="s">
        <v>104</v>
      </c>
      <c r="D557" s="1" t="s">
        <v>132</v>
      </c>
      <c r="E557">
        <v>5</v>
      </c>
      <c r="F557">
        <v>52.45</v>
      </c>
      <c r="G557">
        <v>262.25</v>
      </c>
      <c r="H557">
        <v>78.674999999999997</v>
      </c>
      <c r="I557" s="1" t="s">
        <v>11</v>
      </c>
      <c r="J557">
        <v>2</v>
      </c>
      <c r="K557" s="1" t="s">
        <v>1491</v>
      </c>
      <c r="L557">
        <v>2025</v>
      </c>
    </row>
    <row r="558" spans="1:12" x14ac:dyDescent="0.3">
      <c r="A558" s="1" t="s">
        <v>952</v>
      </c>
      <c r="B558" s="4">
        <v>45551</v>
      </c>
      <c r="C558" s="1" t="s">
        <v>647</v>
      </c>
      <c r="D558" s="1" t="s">
        <v>239</v>
      </c>
      <c r="E558">
        <v>7</v>
      </c>
      <c r="F558">
        <v>103.45</v>
      </c>
      <c r="G558">
        <v>724.15</v>
      </c>
      <c r="H558">
        <v>217.24499999999998</v>
      </c>
      <c r="I558" s="1" t="s">
        <v>15</v>
      </c>
      <c r="J558">
        <v>16</v>
      </c>
      <c r="K558" s="1" t="s">
        <v>1501</v>
      </c>
      <c r="L558">
        <v>2024</v>
      </c>
    </row>
    <row r="559" spans="1:12" x14ac:dyDescent="0.3">
      <c r="A559" s="1" t="s">
        <v>953</v>
      </c>
      <c r="B559" s="4">
        <v>45946</v>
      </c>
      <c r="C559" s="1" t="s">
        <v>954</v>
      </c>
      <c r="D559" s="1" t="s">
        <v>48</v>
      </c>
      <c r="E559">
        <v>10</v>
      </c>
      <c r="F559">
        <v>17.64</v>
      </c>
      <c r="G559">
        <v>176.4</v>
      </c>
      <c r="H559">
        <v>52.92</v>
      </c>
      <c r="I559" s="1" t="s">
        <v>19</v>
      </c>
      <c r="J559">
        <v>16</v>
      </c>
      <c r="K559" s="1" t="s">
        <v>1490</v>
      </c>
      <c r="L559">
        <v>2025</v>
      </c>
    </row>
    <row r="560" spans="1:12" x14ac:dyDescent="0.3">
      <c r="A560" s="1" t="s">
        <v>955</v>
      </c>
      <c r="B560" s="4">
        <v>45411</v>
      </c>
      <c r="C560" s="1" t="s">
        <v>845</v>
      </c>
      <c r="D560" s="1" t="s">
        <v>51</v>
      </c>
      <c r="E560">
        <v>2</v>
      </c>
      <c r="F560">
        <v>64.62</v>
      </c>
      <c r="G560">
        <v>129.24</v>
      </c>
      <c r="H560">
        <v>38.771999999999998</v>
      </c>
      <c r="I560" s="1" t="s">
        <v>15</v>
      </c>
      <c r="J560">
        <v>29</v>
      </c>
      <c r="K560" s="1" t="s">
        <v>1496</v>
      </c>
      <c r="L560">
        <v>2024</v>
      </c>
    </row>
    <row r="561" spans="1:12" x14ac:dyDescent="0.3">
      <c r="A561" s="1" t="s">
        <v>956</v>
      </c>
      <c r="B561" s="4">
        <v>45791</v>
      </c>
      <c r="C561" s="1" t="s">
        <v>241</v>
      </c>
      <c r="D561" s="1" t="s">
        <v>30</v>
      </c>
      <c r="E561">
        <v>6</v>
      </c>
      <c r="F561">
        <v>74.61</v>
      </c>
      <c r="G561">
        <v>447.66</v>
      </c>
      <c r="H561">
        <v>134.298</v>
      </c>
      <c r="I561" s="1" t="s">
        <v>36</v>
      </c>
      <c r="J561">
        <v>14</v>
      </c>
      <c r="K561" s="1" t="s">
        <v>1492</v>
      </c>
      <c r="L561">
        <v>2025</v>
      </c>
    </row>
    <row r="562" spans="1:12" x14ac:dyDescent="0.3">
      <c r="A562" s="1" t="s">
        <v>957</v>
      </c>
      <c r="B562" s="4">
        <v>45626</v>
      </c>
      <c r="C562" s="1" t="s">
        <v>958</v>
      </c>
      <c r="D562" s="1" t="s">
        <v>99</v>
      </c>
      <c r="E562">
        <v>4</v>
      </c>
      <c r="F562">
        <v>162.96</v>
      </c>
      <c r="G562">
        <v>651.84</v>
      </c>
      <c r="H562">
        <v>195.55199999999999</v>
      </c>
      <c r="I562" s="1" t="s">
        <v>11</v>
      </c>
      <c r="J562">
        <v>30</v>
      </c>
      <c r="K562" s="1" t="s">
        <v>1500</v>
      </c>
      <c r="L562">
        <v>2024</v>
      </c>
    </row>
    <row r="563" spans="1:12" x14ac:dyDescent="0.3">
      <c r="A563" s="1" t="s">
        <v>959</v>
      </c>
      <c r="B563" s="4">
        <v>45614</v>
      </c>
      <c r="C563" s="1" t="s">
        <v>421</v>
      </c>
      <c r="D563" s="1" t="s">
        <v>57</v>
      </c>
      <c r="E563">
        <v>9</v>
      </c>
      <c r="F563">
        <v>38.93</v>
      </c>
      <c r="G563">
        <v>350.37</v>
      </c>
      <c r="H563">
        <v>105.111</v>
      </c>
      <c r="I563" s="1" t="s">
        <v>15</v>
      </c>
      <c r="J563">
        <v>18</v>
      </c>
      <c r="K563" s="1" t="s">
        <v>1500</v>
      </c>
      <c r="L563">
        <v>2024</v>
      </c>
    </row>
    <row r="564" spans="1:12" x14ac:dyDescent="0.3">
      <c r="A564" s="1" t="s">
        <v>960</v>
      </c>
      <c r="B564" s="4">
        <v>45932</v>
      </c>
      <c r="C564" s="1" t="s">
        <v>348</v>
      </c>
      <c r="D564" s="1" t="s">
        <v>114</v>
      </c>
      <c r="E564">
        <v>5</v>
      </c>
      <c r="F564">
        <v>195.89</v>
      </c>
      <c r="G564">
        <v>979.45</v>
      </c>
      <c r="H564">
        <v>293.83499999999998</v>
      </c>
      <c r="I564" s="1" t="s">
        <v>15</v>
      </c>
      <c r="J564">
        <v>2</v>
      </c>
      <c r="K564" s="1" t="s">
        <v>1490</v>
      </c>
      <c r="L564">
        <v>2025</v>
      </c>
    </row>
    <row r="565" spans="1:12" x14ac:dyDescent="0.3">
      <c r="A565" s="1" t="s">
        <v>961</v>
      </c>
      <c r="B565" s="4">
        <v>45790</v>
      </c>
      <c r="C565" s="1" t="s">
        <v>962</v>
      </c>
      <c r="D565" s="1" t="s">
        <v>244</v>
      </c>
      <c r="E565">
        <v>2</v>
      </c>
      <c r="F565">
        <v>193.35</v>
      </c>
      <c r="G565">
        <v>386.7</v>
      </c>
      <c r="H565">
        <v>116.00999999999999</v>
      </c>
      <c r="I565" s="1" t="s">
        <v>11</v>
      </c>
      <c r="J565">
        <v>13</v>
      </c>
      <c r="K565" s="1" t="s">
        <v>1492</v>
      </c>
      <c r="L565">
        <v>2025</v>
      </c>
    </row>
    <row r="566" spans="1:12" x14ac:dyDescent="0.3">
      <c r="A566" s="1" t="s">
        <v>963</v>
      </c>
      <c r="B566" s="4">
        <v>45965</v>
      </c>
      <c r="C566" s="1" t="s">
        <v>147</v>
      </c>
      <c r="D566" s="1" t="s">
        <v>114</v>
      </c>
      <c r="E566">
        <v>2</v>
      </c>
      <c r="F566">
        <v>195.89</v>
      </c>
      <c r="G566">
        <v>391.78</v>
      </c>
      <c r="H566">
        <v>117.53399999999999</v>
      </c>
      <c r="I566" s="1" t="s">
        <v>15</v>
      </c>
      <c r="J566">
        <v>4</v>
      </c>
      <c r="K566" s="1" t="s">
        <v>1500</v>
      </c>
      <c r="L566">
        <v>2025</v>
      </c>
    </row>
    <row r="567" spans="1:12" x14ac:dyDescent="0.3">
      <c r="A567" s="1" t="s">
        <v>964</v>
      </c>
      <c r="B567" s="4">
        <v>45654</v>
      </c>
      <c r="C567" s="1" t="s">
        <v>790</v>
      </c>
      <c r="D567" s="1" t="s">
        <v>24</v>
      </c>
      <c r="E567">
        <v>9</v>
      </c>
      <c r="F567">
        <v>134.32</v>
      </c>
      <c r="G567">
        <v>1208.8800000000001</v>
      </c>
      <c r="H567">
        <v>362.66400000000004</v>
      </c>
      <c r="I567" s="1" t="s">
        <v>36</v>
      </c>
      <c r="J567">
        <v>28</v>
      </c>
      <c r="K567" s="1" t="s">
        <v>1495</v>
      </c>
      <c r="L567">
        <v>2024</v>
      </c>
    </row>
    <row r="568" spans="1:12" x14ac:dyDescent="0.3">
      <c r="A568" s="1" t="s">
        <v>965</v>
      </c>
      <c r="B568" s="4">
        <v>45339</v>
      </c>
      <c r="C568" s="1" t="s">
        <v>966</v>
      </c>
      <c r="D568" s="1" t="s">
        <v>148</v>
      </c>
      <c r="E568">
        <v>9</v>
      </c>
      <c r="F568">
        <v>118.95</v>
      </c>
      <c r="G568">
        <v>1070.55</v>
      </c>
      <c r="H568">
        <v>321.16499999999996</v>
      </c>
      <c r="I568" s="1" t="s">
        <v>19</v>
      </c>
      <c r="J568">
        <v>17</v>
      </c>
      <c r="K568" s="1" t="s">
        <v>1494</v>
      </c>
      <c r="L568">
        <v>2024</v>
      </c>
    </row>
    <row r="569" spans="1:12" x14ac:dyDescent="0.3">
      <c r="A569" s="1" t="s">
        <v>967</v>
      </c>
      <c r="B569" s="4">
        <v>45317</v>
      </c>
      <c r="C569" s="1" t="s">
        <v>968</v>
      </c>
      <c r="D569" s="1" t="s">
        <v>145</v>
      </c>
      <c r="E569">
        <v>3</v>
      </c>
      <c r="F569">
        <v>180.47</v>
      </c>
      <c r="G569">
        <v>541.41</v>
      </c>
      <c r="H569">
        <v>162.42299999999997</v>
      </c>
      <c r="I569" s="1" t="s">
        <v>15</v>
      </c>
      <c r="J569">
        <v>26</v>
      </c>
      <c r="K569" s="1" t="s">
        <v>1493</v>
      </c>
      <c r="L569">
        <v>2024</v>
      </c>
    </row>
    <row r="570" spans="1:12" x14ac:dyDescent="0.3">
      <c r="A570" s="1" t="s">
        <v>969</v>
      </c>
      <c r="B570" s="4">
        <v>45547</v>
      </c>
      <c r="C570" s="1" t="s">
        <v>526</v>
      </c>
      <c r="D570" s="1" t="s">
        <v>142</v>
      </c>
      <c r="E570">
        <v>8</v>
      </c>
      <c r="F570">
        <v>52.52</v>
      </c>
      <c r="G570">
        <v>420.16</v>
      </c>
      <c r="H570">
        <v>126.048</v>
      </c>
      <c r="I570" s="1" t="s">
        <v>11</v>
      </c>
      <c r="J570">
        <v>12</v>
      </c>
      <c r="K570" s="1" t="s">
        <v>1501</v>
      </c>
      <c r="L570">
        <v>2024</v>
      </c>
    </row>
    <row r="571" spans="1:12" x14ac:dyDescent="0.3">
      <c r="A571" s="1" t="s">
        <v>970</v>
      </c>
      <c r="B571" s="4">
        <v>45308</v>
      </c>
      <c r="C571" s="1" t="s">
        <v>971</v>
      </c>
      <c r="D571" s="1" t="s">
        <v>183</v>
      </c>
      <c r="E571">
        <v>7</v>
      </c>
      <c r="F571">
        <v>12.47</v>
      </c>
      <c r="G571">
        <v>87.29</v>
      </c>
      <c r="H571">
        <v>26.187000000000001</v>
      </c>
      <c r="I571" s="1" t="s">
        <v>36</v>
      </c>
      <c r="J571">
        <v>17</v>
      </c>
      <c r="K571" s="1" t="s">
        <v>1493</v>
      </c>
      <c r="L571">
        <v>2024</v>
      </c>
    </row>
    <row r="572" spans="1:12" x14ac:dyDescent="0.3">
      <c r="A572" s="1" t="s">
        <v>972</v>
      </c>
      <c r="B572" s="4">
        <v>45865</v>
      </c>
      <c r="C572" s="1" t="s">
        <v>236</v>
      </c>
      <c r="D572" s="1" t="s">
        <v>151</v>
      </c>
      <c r="E572">
        <v>5</v>
      </c>
      <c r="F572">
        <v>89.88</v>
      </c>
      <c r="G572">
        <v>449.4</v>
      </c>
      <c r="H572">
        <v>134.82</v>
      </c>
      <c r="I572" s="1" t="s">
        <v>36</v>
      </c>
      <c r="J572">
        <v>27</v>
      </c>
      <c r="K572" s="1" t="s">
        <v>1498</v>
      </c>
      <c r="L572">
        <v>2025</v>
      </c>
    </row>
    <row r="573" spans="1:12" x14ac:dyDescent="0.3">
      <c r="A573" s="1" t="s">
        <v>973</v>
      </c>
      <c r="B573" s="4">
        <v>45452</v>
      </c>
      <c r="C573" s="1" t="s">
        <v>974</v>
      </c>
      <c r="D573" s="1" t="s">
        <v>10</v>
      </c>
      <c r="E573">
        <v>10</v>
      </c>
      <c r="F573">
        <v>112.61</v>
      </c>
      <c r="G573">
        <v>1126.0999999999999</v>
      </c>
      <c r="H573">
        <v>337.83</v>
      </c>
      <c r="I573" s="1" t="s">
        <v>36</v>
      </c>
      <c r="J573">
        <v>9</v>
      </c>
      <c r="K573" s="1" t="s">
        <v>1497</v>
      </c>
      <c r="L573">
        <v>2024</v>
      </c>
    </row>
    <row r="574" spans="1:12" x14ac:dyDescent="0.3">
      <c r="A574" s="1" t="s">
        <v>975</v>
      </c>
      <c r="B574" s="4">
        <v>45483</v>
      </c>
      <c r="C574" s="1" t="s">
        <v>69</v>
      </c>
      <c r="D574" s="1" t="s">
        <v>239</v>
      </c>
      <c r="E574">
        <v>1</v>
      </c>
      <c r="F574">
        <v>103.45</v>
      </c>
      <c r="G574">
        <v>103.45</v>
      </c>
      <c r="H574">
        <v>31.035</v>
      </c>
      <c r="I574" s="1" t="s">
        <v>15</v>
      </c>
      <c r="J574">
        <v>10</v>
      </c>
      <c r="K574" s="1" t="s">
        <v>1498</v>
      </c>
      <c r="L574">
        <v>2024</v>
      </c>
    </row>
    <row r="575" spans="1:12" x14ac:dyDescent="0.3">
      <c r="A575" s="1" t="s">
        <v>976</v>
      </c>
      <c r="B575" s="4">
        <v>45677</v>
      </c>
      <c r="C575" s="1" t="s">
        <v>265</v>
      </c>
      <c r="D575" s="1" t="s">
        <v>60</v>
      </c>
      <c r="E575">
        <v>2</v>
      </c>
      <c r="F575">
        <v>107.88</v>
      </c>
      <c r="G575">
        <v>215.76</v>
      </c>
      <c r="H575">
        <v>64.727999999999994</v>
      </c>
      <c r="I575" s="1" t="s">
        <v>19</v>
      </c>
      <c r="J575">
        <v>20</v>
      </c>
      <c r="K575" s="1" t="s">
        <v>1493</v>
      </c>
      <c r="L575">
        <v>2025</v>
      </c>
    </row>
    <row r="576" spans="1:12" x14ac:dyDescent="0.3">
      <c r="A576" s="1" t="s">
        <v>977</v>
      </c>
      <c r="B576" s="4">
        <v>45983</v>
      </c>
      <c r="C576" s="1" t="s">
        <v>971</v>
      </c>
      <c r="D576" s="1" t="s">
        <v>33</v>
      </c>
      <c r="E576">
        <v>5</v>
      </c>
      <c r="F576">
        <v>78.92</v>
      </c>
      <c r="G576">
        <v>394.6</v>
      </c>
      <c r="H576">
        <v>118.38</v>
      </c>
      <c r="I576" s="1" t="s">
        <v>11</v>
      </c>
      <c r="J576">
        <v>22</v>
      </c>
      <c r="K576" s="1" t="s">
        <v>1500</v>
      </c>
      <c r="L576">
        <v>2025</v>
      </c>
    </row>
    <row r="577" spans="1:12" x14ac:dyDescent="0.3">
      <c r="A577" s="1" t="s">
        <v>978</v>
      </c>
      <c r="B577" s="4">
        <v>46018</v>
      </c>
      <c r="C577" s="1" t="s">
        <v>625</v>
      </c>
      <c r="D577" s="1" t="s">
        <v>176</v>
      </c>
      <c r="E577">
        <v>3</v>
      </c>
      <c r="F577">
        <v>68.41</v>
      </c>
      <c r="G577">
        <v>205.23</v>
      </c>
      <c r="H577">
        <v>61.568999999999996</v>
      </c>
      <c r="I577" s="1" t="s">
        <v>36</v>
      </c>
      <c r="J577">
        <v>27</v>
      </c>
      <c r="K577" s="1" t="s">
        <v>1495</v>
      </c>
      <c r="L577">
        <v>2025</v>
      </c>
    </row>
    <row r="578" spans="1:12" x14ac:dyDescent="0.3">
      <c r="A578" s="1" t="s">
        <v>979</v>
      </c>
      <c r="B578" s="4">
        <v>45511</v>
      </c>
      <c r="C578" s="1" t="s">
        <v>980</v>
      </c>
      <c r="D578" s="1" t="s">
        <v>51</v>
      </c>
      <c r="E578">
        <v>4</v>
      </c>
      <c r="F578">
        <v>64.62</v>
      </c>
      <c r="G578">
        <v>258.48</v>
      </c>
      <c r="H578">
        <v>77.543999999999997</v>
      </c>
      <c r="I578" s="1" t="s">
        <v>36</v>
      </c>
      <c r="J578">
        <v>7</v>
      </c>
      <c r="K578" s="1" t="s">
        <v>1499</v>
      </c>
      <c r="L578">
        <v>2024</v>
      </c>
    </row>
    <row r="579" spans="1:12" x14ac:dyDescent="0.3">
      <c r="A579" s="1" t="s">
        <v>981</v>
      </c>
      <c r="B579" s="4">
        <v>45533</v>
      </c>
      <c r="C579" s="1" t="s">
        <v>982</v>
      </c>
      <c r="D579" s="1" t="s">
        <v>39</v>
      </c>
      <c r="E579">
        <v>4</v>
      </c>
      <c r="F579">
        <v>18.850000000000001</v>
      </c>
      <c r="G579">
        <v>75.400000000000006</v>
      </c>
      <c r="H579">
        <v>22.62</v>
      </c>
      <c r="I579" s="1" t="s">
        <v>19</v>
      </c>
      <c r="J579">
        <v>29</v>
      </c>
      <c r="K579" s="1" t="s">
        <v>1499</v>
      </c>
      <c r="L579">
        <v>2024</v>
      </c>
    </row>
    <row r="580" spans="1:12" x14ac:dyDescent="0.3">
      <c r="A580" s="1" t="s">
        <v>983</v>
      </c>
      <c r="B580" s="4">
        <v>45952</v>
      </c>
      <c r="C580" s="1" t="s">
        <v>984</v>
      </c>
      <c r="D580" s="1" t="s">
        <v>221</v>
      </c>
      <c r="E580">
        <v>4</v>
      </c>
      <c r="F580">
        <v>108.19</v>
      </c>
      <c r="G580">
        <v>432.76</v>
      </c>
      <c r="H580">
        <v>129.828</v>
      </c>
      <c r="I580" s="1" t="s">
        <v>36</v>
      </c>
      <c r="J580">
        <v>22</v>
      </c>
      <c r="K580" s="1" t="s">
        <v>1490</v>
      </c>
      <c r="L580">
        <v>2025</v>
      </c>
    </row>
    <row r="581" spans="1:12" x14ac:dyDescent="0.3">
      <c r="A581" s="1" t="s">
        <v>985</v>
      </c>
      <c r="B581" s="4">
        <v>45629</v>
      </c>
      <c r="C581" s="1" t="s">
        <v>779</v>
      </c>
      <c r="D581" s="1" t="s">
        <v>114</v>
      </c>
      <c r="E581">
        <v>8</v>
      </c>
      <c r="F581">
        <v>195.89</v>
      </c>
      <c r="G581">
        <v>1567.12</v>
      </c>
      <c r="H581">
        <v>470.13599999999997</v>
      </c>
      <c r="I581" s="1" t="s">
        <v>19</v>
      </c>
      <c r="J581">
        <v>3</v>
      </c>
      <c r="K581" s="1" t="s">
        <v>1495</v>
      </c>
      <c r="L581">
        <v>2024</v>
      </c>
    </row>
    <row r="582" spans="1:12" x14ac:dyDescent="0.3">
      <c r="A582" s="1" t="s">
        <v>986</v>
      </c>
      <c r="B582" s="4">
        <v>45675</v>
      </c>
      <c r="C582" s="1" t="s">
        <v>498</v>
      </c>
      <c r="D582" s="1" t="s">
        <v>277</v>
      </c>
      <c r="E582">
        <v>4</v>
      </c>
      <c r="F582">
        <v>56.18</v>
      </c>
      <c r="G582">
        <v>224.72</v>
      </c>
      <c r="H582">
        <v>67.415999999999997</v>
      </c>
      <c r="I582" s="1" t="s">
        <v>15</v>
      </c>
      <c r="J582">
        <v>18</v>
      </c>
      <c r="K582" s="1" t="s">
        <v>1493</v>
      </c>
      <c r="L582">
        <v>2025</v>
      </c>
    </row>
    <row r="583" spans="1:12" x14ac:dyDescent="0.3">
      <c r="A583" s="1" t="s">
        <v>987</v>
      </c>
      <c r="B583" s="4">
        <v>45351</v>
      </c>
      <c r="C583" s="1" t="s">
        <v>481</v>
      </c>
      <c r="D583" s="1" t="s">
        <v>261</v>
      </c>
      <c r="E583">
        <v>8</v>
      </c>
      <c r="F583">
        <v>176.31</v>
      </c>
      <c r="G583">
        <v>1410.48</v>
      </c>
      <c r="H583">
        <v>423.14400000000001</v>
      </c>
      <c r="I583" s="1" t="s">
        <v>19</v>
      </c>
      <c r="J583">
        <v>29</v>
      </c>
      <c r="K583" s="1" t="s">
        <v>1494</v>
      </c>
      <c r="L583">
        <v>2024</v>
      </c>
    </row>
    <row r="584" spans="1:12" x14ac:dyDescent="0.3">
      <c r="A584" s="1" t="s">
        <v>988</v>
      </c>
      <c r="B584" s="4">
        <v>45956</v>
      </c>
      <c r="C584" s="1" t="s">
        <v>621</v>
      </c>
      <c r="D584" s="1" t="s">
        <v>67</v>
      </c>
      <c r="E584">
        <v>1</v>
      </c>
      <c r="F584">
        <v>29.94</v>
      </c>
      <c r="G584">
        <v>29.94</v>
      </c>
      <c r="H584">
        <v>8.9819999999999993</v>
      </c>
      <c r="I584" s="1" t="s">
        <v>19</v>
      </c>
      <c r="J584">
        <v>26</v>
      </c>
      <c r="K584" s="1" t="s">
        <v>1490</v>
      </c>
      <c r="L584">
        <v>2025</v>
      </c>
    </row>
    <row r="585" spans="1:12" x14ac:dyDescent="0.3">
      <c r="A585" s="1" t="s">
        <v>989</v>
      </c>
      <c r="B585" s="4">
        <v>45720</v>
      </c>
      <c r="C585" s="1" t="s">
        <v>854</v>
      </c>
      <c r="D585" s="1" t="s">
        <v>201</v>
      </c>
      <c r="E585">
        <v>5</v>
      </c>
      <c r="F585">
        <v>53.74</v>
      </c>
      <c r="G585">
        <v>268.7</v>
      </c>
      <c r="H585">
        <v>80.61</v>
      </c>
      <c r="I585" s="1" t="s">
        <v>19</v>
      </c>
      <c r="J585">
        <v>4</v>
      </c>
      <c r="K585" s="1" t="s">
        <v>1491</v>
      </c>
      <c r="L585">
        <v>2025</v>
      </c>
    </row>
    <row r="586" spans="1:12" x14ac:dyDescent="0.3">
      <c r="A586" s="1" t="s">
        <v>990</v>
      </c>
      <c r="B586" s="4">
        <v>45343</v>
      </c>
      <c r="C586" s="1" t="s">
        <v>597</v>
      </c>
      <c r="D586" s="1" t="s">
        <v>10</v>
      </c>
      <c r="E586">
        <v>10</v>
      </c>
      <c r="F586">
        <v>112.61</v>
      </c>
      <c r="G586">
        <v>1126.0999999999999</v>
      </c>
      <c r="H586">
        <v>337.83</v>
      </c>
      <c r="I586" s="1" t="s">
        <v>15</v>
      </c>
      <c r="J586">
        <v>21</v>
      </c>
      <c r="K586" s="1" t="s">
        <v>1494</v>
      </c>
      <c r="L586">
        <v>2024</v>
      </c>
    </row>
    <row r="587" spans="1:12" x14ac:dyDescent="0.3">
      <c r="A587" s="1" t="s">
        <v>991</v>
      </c>
      <c r="B587" s="4">
        <v>45453</v>
      </c>
      <c r="C587" s="1" t="s">
        <v>992</v>
      </c>
      <c r="D587" s="1" t="s">
        <v>277</v>
      </c>
      <c r="E587">
        <v>10</v>
      </c>
      <c r="F587">
        <v>56.18</v>
      </c>
      <c r="G587">
        <v>561.79999999999995</v>
      </c>
      <c r="H587">
        <v>168.54</v>
      </c>
      <c r="I587" s="1" t="s">
        <v>36</v>
      </c>
      <c r="J587">
        <v>10</v>
      </c>
      <c r="K587" s="1" t="s">
        <v>1497</v>
      </c>
      <c r="L587">
        <v>2024</v>
      </c>
    </row>
    <row r="588" spans="1:12" x14ac:dyDescent="0.3">
      <c r="A588" s="1" t="s">
        <v>993</v>
      </c>
      <c r="B588" s="4">
        <v>45749</v>
      </c>
      <c r="C588" s="1" t="s">
        <v>794</v>
      </c>
      <c r="D588" s="1" t="s">
        <v>33</v>
      </c>
      <c r="E588">
        <v>10</v>
      </c>
      <c r="F588">
        <v>78.92</v>
      </c>
      <c r="G588">
        <v>789.2</v>
      </c>
      <c r="H588">
        <v>236.76</v>
      </c>
      <c r="I588" s="1" t="s">
        <v>36</v>
      </c>
      <c r="J588">
        <v>2</v>
      </c>
      <c r="K588" s="1" t="s">
        <v>1496</v>
      </c>
      <c r="L588">
        <v>2025</v>
      </c>
    </row>
    <row r="589" spans="1:12" x14ac:dyDescent="0.3">
      <c r="A589" s="1" t="s">
        <v>994</v>
      </c>
      <c r="B589" s="4">
        <v>45337</v>
      </c>
      <c r="C589" s="1" t="s">
        <v>38</v>
      </c>
      <c r="D589" s="1" t="s">
        <v>193</v>
      </c>
      <c r="E589">
        <v>5</v>
      </c>
      <c r="F589">
        <v>157.13</v>
      </c>
      <c r="G589">
        <v>785.65</v>
      </c>
      <c r="H589">
        <v>235.69499999999999</v>
      </c>
      <c r="I589" s="1" t="s">
        <v>36</v>
      </c>
      <c r="J589">
        <v>15</v>
      </c>
      <c r="K589" s="1" t="s">
        <v>1494</v>
      </c>
      <c r="L589">
        <v>2024</v>
      </c>
    </row>
    <row r="590" spans="1:12" x14ac:dyDescent="0.3">
      <c r="A590" s="1" t="s">
        <v>995</v>
      </c>
      <c r="B590" s="4">
        <v>45575</v>
      </c>
      <c r="C590" s="1" t="s">
        <v>108</v>
      </c>
      <c r="D590" s="1" t="s">
        <v>102</v>
      </c>
      <c r="E590">
        <v>2</v>
      </c>
      <c r="F590">
        <v>41.45</v>
      </c>
      <c r="G590">
        <v>82.9</v>
      </c>
      <c r="H590">
        <v>24.87</v>
      </c>
      <c r="I590" s="1" t="s">
        <v>36</v>
      </c>
      <c r="J590">
        <v>10</v>
      </c>
      <c r="K590" s="1" t="s">
        <v>1490</v>
      </c>
      <c r="L590">
        <v>2024</v>
      </c>
    </row>
    <row r="591" spans="1:12" x14ac:dyDescent="0.3">
      <c r="A591" s="1" t="s">
        <v>996</v>
      </c>
      <c r="B591" s="4">
        <v>45867</v>
      </c>
      <c r="C591" s="1" t="s">
        <v>473</v>
      </c>
      <c r="D591" s="1" t="s">
        <v>327</v>
      </c>
      <c r="E591">
        <v>8</v>
      </c>
      <c r="F591">
        <v>89.24</v>
      </c>
      <c r="G591">
        <v>713.92</v>
      </c>
      <c r="H591">
        <v>214.17599999999999</v>
      </c>
      <c r="I591" s="1" t="s">
        <v>19</v>
      </c>
      <c r="J591">
        <v>29</v>
      </c>
      <c r="K591" s="1" t="s">
        <v>1498</v>
      </c>
      <c r="L591">
        <v>2025</v>
      </c>
    </row>
    <row r="592" spans="1:12" x14ac:dyDescent="0.3">
      <c r="A592" s="1" t="s">
        <v>997</v>
      </c>
      <c r="B592" s="4">
        <v>45523</v>
      </c>
      <c r="C592" s="1" t="s">
        <v>968</v>
      </c>
      <c r="D592" s="1" t="s">
        <v>39</v>
      </c>
      <c r="E592">
        <v>3</v>
      </c>
      <c r="F592">
        <v>18.850000000000001</v>
      </c>
      <c r="G592">
        <v>56.55</v>
      </c>
      <c r="H592">
        <v>16.965</v>
      </c>
      <c r="I592" s="1" t="s">
        <v>11</v>
      </c>
      <c r="J592">
        <v>19</v>
      </c>
      <c r="K592" s="1" t="s">
        <v>1499</v>
      </c>
      <c r="L592">
        <v>2024</v>
      </c>
    </row>
    <row r="593" spans="1:12" x14ac:dyDescent="0.3">
      <c r="A593" s="1" t="s">
        <v>998</v>
      </c>
      <c r="B593" s="4">
        <v>45896</v>
      </c>
      <c r="C593" s="1" t="s">
        <v>715</v>
      </c>
      <c r="D593" s="1" t="s">
        <v>142</v>
      </c>
      <c r="E593">
        <v>9</v>
      </c>
      <c r="F593">
        <v>52.52</v>
      </c>
      <c r="G593">
        <v>472.68</v>
      </c>
      <c r="H593">
        <v>141.804</v>
      </c>
      <c r="I593" s="1" t="s">
        <v>11</v>
      </c>
      <c r="J593">
        <v>27</v>
      </c>
      <c r="K593" s="1" t="s">
        <v>1499</v>
      </c>
      <c r="L593">
        <v>2025</v>
      </c>
    </row>
    <row r="594" spans="1:12" x14ac:dyDescent="0.3">
      <c r="A594" s="1" t="s">
        <v>999</v>
      </c>
      <c r="B594" s="4">
        <v>45520</v>
      </c>
      <c r="C594" s="1" t="s">
        <v>331</v>
      </c>
      <c r="D594" s="1" t="s">
        <v>72</v>
      </c>
      <c r="E594">
        <v>10</v>
      </c>
      <c r="F594">
        <v>134.61000000000001</v>
      </c>
      <c r="G594">
        <v>1346.1</v>
      </c>
      <c r="H594">
        <v>403.83</v>
      </c>
      <c r="I594" s="1" t="s">
        <v>36</v>
      </c>
      <c r="J594">
        <v>16</v>
      </c>
      <c r="K594" s="1" t="s">
        <v>1499</v>
      </c>
      <c r="L594">
        <v>2024</v>
      </c>
    </row>
    <row r="595" spans="1:12" x14ac:dyDescent="0.3">
      <c r="A595" s="1" t="s">
        <v>1000</v>
      </c>
      <c r="B595" s="4">
        <v>45363</v>
      </c>
      <c r="C595" s="1" t="s">
        <v>190</v>
      </c>
      <c r="D595" s="1" t="s">
        <v>88</v>
      </c>
      <c r="E595">
        <v>10</v>
      </c>
      <c r="F595">
        <v>162.21</v>
      </c>
      <c r="G595">
        <v>1622.1</v>
      </c>
      <c r="H595">
        <v>486.62999999999994</v>
      </c>
      <c r="I595" s="1" t="s">
        <v>15</v>
      </c>
      <c r="J595">
        <v>12</v>
      </c>
      <c r="K595" s="1" t="s">
        <v>1491</v>
      </c>
      <c r="L595">
        <v>2024</v>
      </c>
    </row>
    <row r="596" spans="1:12" x14ac:dyDescent="0.3">
      <c r="A596" s="1" t="s">
        <v>1001</v>
      </c>
      <c r="B596" s="4">
        <v>45461</v>
      </c>
      <c r="C596" s="1" t="s">
        <v>41</v>
      </c>
      <c r="D596" s="1" t="s">
        <v>193</v>
      </c>
      <c r="E596">
        <v>6</v>
      </c>
      <c r="F596">
        <v>157.13</v>
      </c>
      <c r="G596">
        <v>942.78</v>
      </c>
      <c r="H596">
        <v>282.834</v>
      </c>
      <c r="I596" s="1" t="s">
        <v>15</v>
      </c>
      <c r="J596">
        <v>18</v>
      </c>
      <c r="K596" s="1" t="s">
        <v>1497</v>
      </c>
      <c r="L596">
        <v>2024</v>
      </c>
    </row>
    <row r="597" spans="1:12" x14ac:dyDescent="0.3">
      <c r="A597" s="1" t="s">
        <v>1002</v>
      </c>
      <c r="B597" s="4">
        <v>45668</v>
      </c>
      <c r="C597" s="1" t="s">
        <v>1003</v>
      </c>
      <c r="D597" s="1" t="s">
        <v>51</v>
      </c>
      <c r="E597">
        <v>6</v>
      </c>
      <c r="F597">
        <v>64.62</v>
      </c>
      <c r="G597">
        <v>387.72</v>
      </c>
      <c r="H597">
        <v>116.316</v>
      </c>
      <c r="I597" s="1" t="s">
        <v>36</v>
      </c>
      <c r="J597">
        <v>11</v>
      </c>
      <c r="K597" s="1" t="s">
        <v>1493</v>
      </c>
      <c r="L597">
        <v>2025</v>
      </c>
    </row>
    <row r="598" spans="1:12" x14ac:dyDescent="0.3">
      <c r="A598" s="1" t="s">
        <v>1004</v>
      </c>
      <c r="B598" s="4">
        <v>45961</v>
      </c>
      <c r="C598" s="1" t="s">
        <v>1005</v>
      </c>
      <c r="D598" s="1" t="s">
        <v>51</v>
      </c>
      <c r="E598">
        <v>4</v>
      </c>
      <c r="F598">
        <v>64.62</v>
      </c>
      <c r="G598">
        <v>258.48</v>
      </c>
      <c r="H598">
        <v>77.543999999999997</v>
      </c>
      <c r="I598" s="1" t="s">
        <v>15</v>
      </c>
      <c r="J598">
        <v>31</v>
      </c>
      <c r="K598" s="1" t="s">
        <v>1490</v>
      </c>
      <c r="L598">
        <v>2025</v>
      </c>
    </row>
    <row r="599" spans="1:12" x14ac:dyDescent="0.3">
      <c r="A599" s="1" t="s">
        <v>1006</v>
      </c>
      <c r="B599" s="4">
        <v>45480</v>
      </c>
      <c r="C599" s="1" t="s">
        <v>408</v>
      </c>
      <c r="D599" s="1" t="s">
        <v>102</v>
      </c>
      <c r="E599">
        <v>5</v>
      </c>
      <c r="F599">
        <v>41.45</v>
      </c>
      <c r="G599">
        <v>207.25</v>
      </c>
      <c r="H599">
        <v>62.174999999999997</v>
      </c>
      <c r="I599" s="1" t="s">
        <v>11</v>
      </c>
      <c r="J599">
        <v>7</v>
      </c>
      <c r="K599" s="1" t="s">
        <v>1498</v>
      </c>
      <c r="L599">
        <v>2024</v>
      </c>
    </row>
    <row r="600" spans="1:12" x14ac:dyDescent="0.3">
      <c r="A600" s="1" t="s">
        <v>1007</v>
      </c>
      <c r="B600" s="4">
        <v>45696</v>
      </c>
      <c r="C600" s="1" t="s">
        <v>98</v>
      </c>
      <c r="D600" s="1" t="s">
        <v>132</v>
      </c>
      <c r="E600">
        <v>5</v>
      </c>
      <c r="F600">
        <v>52.45</v>
      </c>
      <c r="G600">
        <v>262.25</v>
      </c>
      <c r="H600">
        <v>78.674999999999997</v>
      </c>
      <c r="I600" s="1" t="s">
        <v>15</v>
      </c>
      <c r="J600">
        <v>8</v>
      </c>
      <c r="K600" s="1" t="s">
        <v>1494</v>
      </c>
      <c r="L600">
        <v>2025</v>
      </c>
    </row>
    <row r="601" spans="1:12" x14ac:dyDescent="0.3">
      <c r="A601" s="1" t="s">
        <v>1008</v>
      </c>
      <c r="B601" s="4">
        <v>45847</v>
      </c>
      <c r="C601" s="1" t="s">
        <v>1009</v>
      </c>
      <c r="D601" s="1" t="s">
        <v>246</v>
      </c>
      <c r="E601">
        <v>10</v>
      </c>
      <c r="F601">
        <v>17.22</v>
      </c>
      <c r="G601">
        <v>172.2</v>
      </c>
      <c r="H601">
        <v>51.66</v>
      </c>
      <c r="I601" s="1" t="s">
        <v>15</v>
      </c>
      <c r="J601">
        <v>9</v>
      </c>
      <c r="K601" s="1" t="s">
        <v>1498</v>
      </c>
      <c r="L601">
        <v>2025</v>
      </c>
    </row>
    <row r="602" spans="1:12" x14ac:dyDescent="0.3">
      <c r="A602" s="1" t="s">
        <v>1010</v>
      </c>
      <c r="B602" s="4">
        <v>45689</v>
      </c>
      <c r="C602" s="1" t="s">
        <v>434</v>
      </c>
      <c r="D602" s="1" t="s">
        <v>60</v>
      </c>
      <c r="E602">
        <v>6</v>
      </c>
      <c r="F602">
        <v>107.88</v>
      </c>
      <c r="G602">
        <v>647.28</v>
      </c>
      <c r="H602">
        <v>194.184</v>
      </c>
      <c r="I602" s="1" t="s">
        <v>15</v>
      </c>
      <c r="J602">
        <v>1</v>
      </c>
      <c r="K602" s="1" t="s">
        <v>1494</v>
      </c>
      <c r="L602">
        <v>2025</v>
      </c>
    </row>
    <row r="603" spans="1:12" x14ac:dyDescent="0.3">
      <c r="A603" s="1" t="s">
        <v>1011</v>
      </c>
      <c r="B603" s="4">
        <v>45515</v>
      </c>
      <c r="C603" s="1" t="s">
        <v>1012</v>
      </c>
      <c r="D603" s="1" t="s">
        <v>368</v>
      </c>
      <c r="E603">
        <v>2</v>
      </c>
      <c r="F603">
        <v>34.369999999999997</v>
      </c>
      <c r="G603">
        <v>68.739999999999995</v>
      </c>
      <c r="H603">
        <v>20.621999999999996</v>
      </c>
      <c r="I603" s="1" t="s">
        <v>36</v>
      </c>
      <c r="J603">
        <v>11</v>
      </c>
      <c r="K603" s="1" t="s">
        <v>1499</v>
      </c>
      <c r="L603">
        <v>2024</v>
      </c>
    </row>
    <row r="604" spans="1:12" x14ac:dyDescent="0.3">
      <c r="A604" s="1" t="s">
        <v>1013</v>
      </c>
      <c r="B604" s="4">
        <v>46013</v>
      </c>
      <c r="C604" s="1" t="s">
        <v>921</v>
      </c>
      <c r="D604" s="1" t="s">
        <v>10</v>
      </c>
      <c r="E604">
        <v>3</v>
      </c>
      <c r="F604">
        <v>112.61</v>
      </c>
      <c r="G604">
        <v>337.83</v>
      </c>
      <c r="H604">
        <v>101.34899999999999</v>
      </c>
      <c r="I604" s="1" t="s">
        <v>36</v>
      </c>
      <c r="J604">
        <v>22</v>
      </c>
      <c r="K604" s="1" t="s">
        <v>1495</v>
      </c>
      <c r="L604">
        <v>2025</v>
      </c>
    </row>
    <row r="605" spans="1:12" x14ac:dyDescent="0.3">
      <c r="A605" s="1" t="s">
        <v>1014</v>
      </c>
      <c r="B605" s="4">
        <v>45506</v>
      </c>
      <c r="C605" s="1" t="s">
        <v>127</v>
      </c>
      <c r="D605" s="1" t="s">
        <v>10</v>
      </c>
      <c r="E605">
        <v>4</v>
      </c>
      <c r="F605">
        <v>112.61</v>
      </c>
      <c r="G605">
        <v>450.44</v>
      </c>
      <c r="H605">
        <v>135.13200000000001</v>
      </c>
      <c r="I605" s="1" t="s">
        <v>11</v>
      </c>
      <c r="J605">
        <v>2</v>
      </c>
      <c r="K605" s="1" t="s">
        <v>1499</v>
      </c>
      <c r="L605">
        <v>2024</v>
      </c>
    </row>
    <row r="606" spans="1:12" x14ac:dyDescent="0.3">
      <c r="A606" s="1" t="s">
        <v>1015</v>
      </c>
      <c r="B606" s="4">
        <v>45830</v>
      </c>
      <c r="C606" s="1" t="s">
        <v>756</v>
      </c>
      <c r="D606" s="1" t="s">
        <v>368</v>
      </c>
      <c r="E606">
        <v>1</v>
      </c>
      <c r="F606">
        <v>34.369999999999997</v>
      </c>
      <c r="G606">
        <v>34.369999999999997</v>
      </c>
      <c r="H606">
        <v>10.310999999999998</v>
      </c>
      <c r="I606" s="1" t="s">
        <v>36</v>
      </c>
      <c r="J606">
        <v>22</v>
      </c>
      <c r="K606" s="1" t="s">
        <v>1497</v>
      </c>
      <c r="L606">
        <v>2025</v>
      </c>
    </row>
    <row r="607" spans="1:12" x14ac:dyDescent="0.3">
      <c r="A607" s="1" t="s">
        <v>1016</v>
      </c>
      <c r="B607" s="4">
        <v>45802</v>
      </c>
      <c r="C607" s="1" t="s">
        <v>1009</v>
      </c>
      <c r="D607" s="1" t="s">
        <v>246</v>
      </c>
      <c r="E607">
        <v>7</v>
      </c>
      <c r="F607">
        <v>17.22</v>
      </c>
      <c r="G607">
        <v>120.54</v>
      </c>
      <c r="H607">
        <v>36.161999999999999</v>
      </c>
      <c r="I607" s="1" t="s">
        <v>36</v>
      </c>
      <c r="J607">
        <v>25</v>
      </c>
      <c r="K607" s="1" t="s">
        <v>1492</v>
      </c>
      <c r="L607">
        <v>2025</v>
      </c>
    </row>
    <row r="608" spans="1:12" x14ac:dyDescent="0.3">
      <c r="A608" s="1" t="s">
        <v>1017</v>
      </c>
      <c r="B608" s="4">
        <v>45955</v>
      </c>
      <c r="C608" s="1" t="s">
        <v>560</v>
      </c>
      <c r="D608" s="1" t="s">
        <v>45</v>
      </c>
      <c r="E608">
        <v>6</v>
      </c>
      <c r="F608">
        <v>24.62</v>
      </c>
      <c r="G608">
        <v>147.72</v>
      </c>
      <c r="H608">
        <v>44.315999999999995</v>
      </c>
      <c r="I608" s="1" t="s">
        <v>36</v>
      </c>
      <c r="J608">
        <v>25</v>
      </c>
      <c r="K608" s="1" t="s">
        <v>1490</v>
      </c>
      <c r="L608">
        <v>2025</v>
      </c>
    </row>
    <row r="609" spans="1:12" x14ac:dyDescent="0.3">
      <c r="A609" s="1" t="s">
        <v>1018</v>
      </c>
      <c r="B609" s="4">
        <v>45737</v>
      </c>
      <c r="C609" s="1" t="s">
        <v>410</v>
      </c>
      <c r="D609" s="1" t="s">
        <v>10</v>
      </c>
      <c r="E609">
        <v>4</v>
      </c>
      <c r="F609">
        <v>112.61</v>
      </c>
      <c r="G609">
        <v>450.44</v>
      </c>
      <c r="H609">
        <v>135.13200000000001</v>
      </c>
      <c r="I609" s="1" t="s">
        <v>19</v>
      </c>
      <c r="J609">
        <v>21</v>
      </c>
      <c r="K609" s="1" t="s">
        <v>1491</v>
      </c>
      <c r="L609">
        <v>2025</v>
      </c>
    </row>
    <row r="610" spans="1:12" x14ac:dyDescent="0.3">
      <c r="A610" s="1" t="s">
        <v>1019</v>
      </c>
      <c r="B610" s="4">
        <v>45576</v>
      </c>
      <c r="C610" s="1" t="s">
        <v>110</v>
      </c>
      <c r="D610" s="1" t="s">
        <v>148</v>
      </c>
      <c r="E610">
        <v>8</v>
      </c>
      <c r="F610">
        <v>118.95</v>
      </c>
      <c r="G610">
        <v>951.6</v>
      </c>
      <c r="H610">
        <v>285.48</v>
      </c>
      <c r="I610" s="1" t="s">
        <v>36</v>
      </c>
      <c r="J610">
        <v>11</v>
      </c>
      <c r="K610" s="1" t="s">
        <v>1490</v>
      </c>
      <c r="L610">
        <v>2024</v>
      </c>
    </row>
    <row r="611" spans="1:12" x14ac:dyDescent="0.3">
      <c r="A611" s="1" t="s">
        <v>1020</v>
      </c>
      <c r="B611" s="4">
        <v>45967</v>
      </c>
      <c r="C611" s="1" t="s">
        <v>38</v>
      </c>
      <c r="D611" s="1" t="s">
        <v>39</v>
      </c>
      <c r="E611">
        <v>10</v>
      </c>
      <c r="F611">
        <v>18.850000000000001</v>
      </c>
      <c r="G611">
        <v>188.5</v>
      </c>
      <c r="H611">
        <v>56.55</v>
      </c>
      <c r="I611" s="1" t="s">
        <v>11</v>
      </c>
      <c r="J611">
        <v>6</v>
      </c>
      <c r="K611" s="1" t="s">
        <v>1500</v>
      </c>
      <c r="L611">
        <v>2025</v>
      </c>
    </row>
    <row r="612" spans="1:12" x14ac:dyDescent="0.3">
      <c r="A612" s="1" t="s">
        <v>1021</v>
      </c>
      <c r="B612" s="4">
        <v>45395</v>
      </c>
      <c r="C612" s="1" t="s">
        <v>197</v>
      </c>
      <c r="D612" s="1" t="s">
        <v>10</v>
      </c>
      <c r="E612">
        <v>4</v>
      </c>
      <c r="F612">
        <v>112.61</v>
      </c>
      <c r="G612">
        <v>450.44</v>
      </c>
      <c r="H612">
        <v>135.13200000000001</v>
      </c>
      <c r="I612" s="1" t="s">
        <v>36</v>
      </c>
      <c r="J612">
        <v>13</v>
      </c>
      <c r="K612" s="1" t="s">
        <v>1496</v>
      </c>
      <c r="L612">
        <v>2024</v>
      </c>
    </row>
    <row r="613" spans="1:12" x14ac:dyDescent="0.3">
      <c r="A613" s="1" t="s">
        <v>1022</v>
      </c>
      <c r="B613" s="4">
        <v>45836</v>
      </c>
      <c r="C613" s="1" t="s">
        <v>591</v>
      </c>
      <c r="D613" s="1" t="s">
        <v>193</v>
      </c>
      <c r="E613">
        <v>2</v>
      </c>
      <c r="F613">
        <v>157.13</v>
      </c>
      <c r="G613">
        <v>314.26</v>
      </c>
      <c r="H613">
        <v>94.277999999999992</v>
      </c>
      <c r="I613" s="1" t="s">
        <v>19</v>
      </c>
      <c r="J613">
        <v>28</v>
      </c>
      <c r="K613" s="1" t="s">
        <v>1497</v>
      </c>
      <c r="L613">
        <v>2025</v>
      </c>
    </row>
    <row r="614" spans="1:12" x14ac:dyDescent="0.3">
      <c r="A614" s="1" t="s">
        <v>1023</v>
      </c>
      <c r="B614" s="4">
        <v>45750</v>
      </c>
      <c r="C614" s="1" t="s">
        <v>1024</v>
      </c>
      <c r="D614" s="1" t="s">
        <v>42</v>
      </c>
      <c r="E614">
        <v>1</v>
      </c>
      <c r="F614">
        <v>165.9</v>
      </c>
      <c r="G614">
        <v>165.9</v>
      </c>
      <c r="H614">
        <v>49.77</v>
      </c>
      <c r="I614" s="1" t="s">
        <v>15</v>
      </c>
      <c r="J614">
        <v>3</v>
      </c>
      <c r="K614" s="1" t="s">
        <v>1496</v>
      </c>
      <c r="L614">
        <v>2025</v>
      </c>
    </row>
    <row r="615" spans="1:12" x14ac:dyDescent="0.3">
      <c r="A615" s="1" t="s">
        <v>1025</v>
      </c>
      <c r="B615" s="4">
        <v>45375</v>
      </c>
      <c r="C615" s="1" t="s">
        <v>595</v>
      </c>
      <c r="D615" s="1" t="s">
        <v>99</v>
      </c>
      <c r="E615">
        <v>6</v>
      </c>
      <c r="F615">
        <v>162.96</v>
      </c>
      <c r="G615">
        <v>977.76</v>
      </c>
      <c r="H615">
        <v>293.32799999999997</v>
      </c>
      <c r="I615" s="1" t="s">
        <v>11</v>
      </c>
      <c r="J615">
        <v>24</v>
      </c>
      <c r="K615" s="1" t="s">
        <v>1491</v>
      </c>
      <c r="L615">
        <v>2024</v>
      </c>
    </row>
    <row r="616" spans="1:12" x14ac:dyDescent="0.3">
      <c r="A616" s="1" t="s">
        <v>1026</v>
      </c>
      <c r="B616" s="4">
        <v>45509</v>
      </c>
      <c r="C616" s="1" t="s">
        <v>116</v>
      </c>
      <c r="D616" s="1" t="s">
        <v>102</v>
      </c>
      <c r="E616">
        <v>6</v>
      </c>
      <c r="F616">
        <v>41.45</v>
      </c>
      <c r="G616">
        <v>248.7</v>
      </c>
      <c r="H616">
        <v>74.61</v>
      </c>
      <c r="I616" s="1" t="s">
        <v>36</v>
      </c>
      <c r="J616">
        <v>5</v>
      </c>
      <c r="K616" s="1" t="s">
        <v>1499</v>
      </c>
      <c r="L616">
        <v>2024</v>
      </c>
    </row>
    <row r="617" spans="1:12" x14ac:dyDescent="0.3">
      <c r="A617" s="1" t="s">
        <v>1027</v>
      </c>
      <c r="B617" s="4">
        <v>45635</v>
      </c>
      <c r="C617" s="1" t="s">
        <v>504</v>
      </c>
      <c r="D617" s="1" t="s">
        <v>67</v>
      </c>
      <c r="E617">
        <v>3</v>
      </c>
      <c r="F617">
        <v>29.94</v>
      </c>
      <c r="G617">
        <v>89.82</v>
      </c>
      <c r="H617">
        <v>26.945999999999998</v>
      </c>
      <c r="I617" s="1" t="s">
        <v>19</v>
      </c>
      <c r="J617">
        <v>9</v>
      </c>
      <c r="K617" s="1" t="s">
        <v>1495</v>
      </c>
      <c r="L617">
        <v>2024</v>
      </c>
    </row>
    <row r="618" spans="1:12" x14ac:dyDescent="0.3">
      <c r="A618" s="1" t="s">
        <v>1028</v>
      </c>
      <c r="B618" s="4">
        <v>45573</v>
      </c>
      <c r="C618" s="1" t="s">
        <v>881</v>
      </c>
      <c r="D618" s="1" t="s">
        <v>123</v>
      </c>
      <c r="E618">
        <v>10</v>
      </c>
      <c r="F618">
        <v>20.28</v>
      </c>
      <c r="G618">
        <v>202.8</v>
      </c>
      <c r="H618">
        <v>60.84</v>
      </c>
      <c r="I618" s="1" t="s">
        <v>36</v>
      </c>
      <c r="J618">
        <v>8</v>
      </c>
      <c r="K618" s="1" t="s">
        <v>1490</v>
      </c>
      <c r="L618">
        <v>2024</v>
      </c>
    </row>
    <row r="619" spans="1:12" x14ac:dyDescent="0.3">
      <c r="A619" s="1" t="s">
        <v>1029</v>
      </c>
      <c r="B619" s="4">
        <v>45734</v>
      </c>
      <c r="C619" s="1" t="s">
        <v>1024</v>
      </c>
      <c r="D619" s="1" t="s">
        <v>183</v>
      </c>
      <c r="E619">
        <v>1</v>
      </c>
      <c r="F619">
        <v>12.47</v>
      </c>
      <c r="G619">
        <v>12.47</v>
      </c>
      <c r="H619">
        <v>3.7410000000000001</v>
      </c>
      <c r="I619" s="1" t="s">
        <v>36</v>
      </c>
      <c r="J619">
        <v>18</v>
      </c>
      <c r="K619" s="1" t="s">
        <v>1491</v>
      </c>
      <c r="L619">
        <v>2025</v>
      </c>
    </row>
    <row r="620" spans="1:12" x14ac:dyDescent="0.3">
      <c r="A620" s="1" t="s">
        <v>1030</v>
      </c>
      <c r="B620" s="4">
        <v>45787</v>
      </c>
      <c r="C620" s="1" t="s">
        <v>921</v>
      </c>
      <c r="D620" s="1" t="s">
        <v>221</v>
      </c>
      <c r="E620">
        <v>2</v>
      </c>
      <c r="F620">
        <v>108.19</v>
      </c>
      <c r="G620">
        <v>216.38</v>
      </c>
      <c r="H620">
        <v>64.914000000000001</v>
      </c>
      <c r="I620" s="1" t="s">
        <v>19</v>
      </c>
      <c r="J620">
        <v>10</v>
      </c>
      <c r="K620" s="1" t="s">
        <v>1492</v>
      </c>
      <c r="L620">
        <v>2025</v>
      </c>
    </row>
    <row r="621" spans="1:12" x14ac:dyDescent="0.3">
      <c r="A621" s="1" t="s">
        <v>1031</v>
      </c>
      <c r="B621" s="4">
        <v>45531</v>
      </c>
      <c r="C621" s="1" t="s">
        <v>823</v>
      </c>
      <c r="D621" s="1" t="s">
        <v>39</v>
      </c>
      <c r="E621">
        <v>9</v>
      </c>
      <c r="F621">
        <v>18.850000000000001</v>
      </c>
      <c r="G621">
        <v>169.65</v>
      </c>
      <c r="H621">
        <v>50.895000000000003</v>
      </c>
      <c r="I621" s="1" t="s">
        <v>11</v>
      </c>
      <c r="J621">
        <v>27</v>
      </c>
      <c r="K621" s="1" t="s">
        <v>1499</v>
      </c>
      <c r="L621">
        <v>2024</v>
      </c>
    </row>
    <row r="622" spans="1:12" x14ac:dyDescent="0.3">
      <c r="A622" s="1" t="s">
        <v>1032</v>
      </c>
      <c r="B622" s="4">
        <v>45774</v>
      </c>
      <c r="C622" s="1" t="s">
        <v>288</v>
      </c>
      <c r="D622" s="1" t="s">
        <v>277</v>
      </c>
      <c r="E622">
        <v>4</v>
      </c>
      <c r="F622">
        <v>56.18</v>
      </c>
      <c r="G622">
        <v>224.72</v>
      </c>
      <c r="H622">
        <v>67.415999999999997</v>
      </c>
      <c r="I622" s="1" t="s">
        <v>36</v>
      </c>
      <c r="J622">
        <v>27</v>
      </c>
      <c r="K622" s="1" t="s">
        <v>1496</v>
      </c>
      <c r="L622">
        <v>2025</v>
      </c>
    </row>
    <row r="623" spans="1:12" x14ac:dyDescent="0.3">
      <c r="A623" s="1" t="s">
        <v>1033</v>
      </c>
      <c r="B623" s="4">
        <v>45781</v>
      </c>
      <c r="C623" s="1" t="s">
        <v>1034</v>
      </c>
      <c r="D623" s="1" t="s">
        <v>201</v>
      </c>
      <c r="E623">
        <v>6</v>
      </c>
      <c r="F623">
        <v>53.74</v>
      </c>
      <c r="G623">
        <v>322.44</v>
      </c>
      <c r="H623">
        <v>96.731999999999999</v>
      </c>
      <c r="I623" s="1" t="s">
        <v>11</v>
      </c>
      <c r="J623">
        <v>4</v>
      </c>
      <c r="K623" s="1" t="s">
        <v>1492</v>
      </c>
      <c r="L623">
        <v>2025</v>
      </c>
    </row>
    <row r="624" spans="1:12" x14ac:dyDescent="0.3">
      <c r="A624" s="1" t="s">
        <v>1035</v>
      </c>
      <c r="B624" s="4">
        <v>45837</v>
      </c>
      <c r="C624" s="1" t="s">
        <v>385</v>
      </c>
      <c r="D624" s="1" t="s">
        <v>57</v>
      </c>
      <c r="E624">
        <v>8</v>
      </c>
      <c r="F624">
        <v>38.93</v>
      </c>
      <c r="G624">
        <v>311.44</v>
      </c>
      <c r="H624">
        <v>93.432000000000002</v>
      </c>
      <c r="I624" s="1" t="s">
        <v>36</v>
      </c>
      <c r="J624">
        <v>29</v>
      </c>
      <c r="K624" s="1" t="s">
        <v>1497</v>
      </c>
      <c r="L624">
        <v>2025</v>
      </c>
    </row>
    <row r="625" spans="1:12" x14ac:dyDescent="0.3">
      <c r="A625" s="1" t="s">
        <v>1036</v>
      </c>
      <c r="B625" s="4">
        <v>45532</v>
      </c>
      <c r="C625" s="1" t="s">
        <v>1009</v>
      </c>
      <c r="D625" s="1" t="s">
        <v>239</v>
      </c>
      <c r="E625">
        <v>4</v>
      </c>
      <c r="F625">
        <v>103.45</v>
      </c>
      <c r="G625">
        <v>413.8</v>
      </c>
      <c r="H625">
        <v>124.14</v>
      </c>
      <c r="I625" s="1" t="s">
        <v>11</v>
      </c>
      <c r="J625">
        <v>28</v>
      </c>
      <c r="K625" s="1" t="s">
        <v>1499</v>
      </c>
      <c r="L625">
        <v>2024</v>
      </c>
    </row>
    <row r="626" spans="1:12" x14ac:dyDescent="0.3">
      <c r="A626" s="1" t="s">
        <v>1037</v>
      </c>
      <c r="B626" s="4">
        <v>45362</v>
      </c>
      <c r="C626" s="1" t="s">
        <v>274</v>
      </c>
      <c r="D626" s="1" t="s">
        <v>88</v>
      </c>
      <c r="E626">
        <v>1</v>
      </c>
      <c r="F626">
        <v>162.21</v>
      </c>
      <c r="G626">
        <v>162.21</v>
      </c>
      <c r="H626">
        <v>48.663000000000004</v>
      </c>
      <c r="I626" s="1" t="s">
        <v>19</v>
      </c>
      <c r="J626">
        <v>11</v>
      </c>
      <c r="K626" s="1" t="s">
        <v>1491</v>
      </c>
      <c r="L626">
        <v>2024</v>
      </c>
    </row>
    <row r="627" spans="1:12" x14ac:dyDescent="0.3">
      <c r="A627" s="1" t="s">
        <v>1038</v>
      </c>
      <c r="B627" s="4">
        <v>45772</v>
      </c>
      <c r="C627" s="1" t="s">
        <v>205</v>
      </c>
      <c r="D627" s="1" t="s">
        <v>75</v>
      </c>
      <c r="E627">
        <v>5</v>
      </c>
      <c r="F627">
        <v>49.95</v>
      </c>
      <c r="G627">
        <v>249.75</v>
      </c>
      <c r="H627">
        <v>74.924999999999997</v>
      </c>
      <c r="I627" s="1" t="s">
        <v>11</v>
      </c>
      <c r="J627">
        <v>25</v>
      </c>
      <c r="K627" s="1" t="s">
        <v>1496</v>
      </c>
      <c r="L627">
        <v>2025</v>
      </c>
    </row>
    <row r="628" spans="1:12" x14ac:dyDescent="0.3">
      <c r="A628" s="1" t="s">
        <v>1039</v>
      </c>
      <c r="B628" s="4">
        <v>45740</v>
      </c>
      <c r="C628" s="1" t="s">
        <v>211</v>
      </c>
      <c r="D628" s="1" t="s">
        <v>183</v>
      </c>
      <c r="E628">
        <v>5</v>
      </c>
      <c r="F628">
        <v>12.47</v>
      </c>
      <c r="G628">
        <v>62.35</v>
      </c>
      <c r="H628">
        <v>18.704999999999998</v>
      </c>
      <c r="I628" s="1" t="s">
        <v>19</v>
      </c>
      <c r="J628">
        <v>24</v>
      </c>
      <c r="K628" s="1" t="s">
        <v>1491</v>
      </c>
      <c r="L628">
        <v>2025</v>
      </c>
    </row>
    <row r="629" spans="1:12" x14ac:dyDescent="0.3">
      <c r="A629" s="1" t="s">
        <v>1040</v>
      </c>
      <c r="B629" s="4">
        <v>45923</v>
      </c>
      <c r="C629" s="1" t="s">
        <v>135</v>
      </c>
      <c r="D629" s="1" t="s">
        <v>42</v>
      </c>
      <c r="E629">
        <v>10</v>
      </c>
      <c r="F629">
        <v>165.9</v>
      </c>
      <c r="G629">
        <v>1659</v>
      </c>
      <c r="H629">
        <v>497.7</v>
      </c>
      <c r="I629" s="1" t="s">
        <v>11</v>
      </c>
      <c r="J629">
        <v>23</v>
      </c>
      <c r="K629" s="1" t="s">
        <v>1501</v>
      </c>
      <c r="L629">
        <v>2025</v>
      </c>
    </row>
    <row r="630" spans="1:12" x14ac:dyDescent="0.3">
      <c r="A630" s="1" t="s">
        <v>1041</v>
      </c>
      <c r="B630" s="4">
        <v>45826</v>
      </c>
      <c r="C630" s="1" t="s">
        <v>552</v>
      </c>
      <c r="D630" s="1" t="s">
        <v>18</v>
      </c>
      <c r="E630">
        <v>5</v>
      </c>
      <c r="F630">
        <v>185.22</v>
      </c>
      <c r="G630">
        <v>926.1</v>
      </c>
      <c r="H630">
        <v>277.83</v>
      </c>
      <c r="I630" s="1" t="s">
        <v>19</v>
      </c>
      <c r="J630">
        <v>18</v>
      </c>
      <c r="K630" s="1" t="s">
        <v>1497</v>
      </c>
      <c r="L630">
        <v>2025</v>
      </c>
    </row>
    <row r="631" spans="1:12" x14ac:dyDescent="0.3">
      <c r="A631" s="1" t="s">
        <v>1042</v>
      </c>
      <c r="B631" s="4">
        <v>45869</v>
      </c>
      <c r="C631" s="1" t="s">
        <v>1043</v>
      </c>
      <c r="D631" s="1" t="s">
        <v>48</v>
      </c>
      <c r="E631">
        <v>4</v>
      </c>
      <c r="F631">
        <v>17.64</v>
      </c>
      <c r="G631">
        <v>70.56</v>
      </c>
      <c r="H631">
        <v>21.167999999999999</v>
      </c>
      <c r="I631" s="1" t="s">
        <v>36</v>
      </c>
      <c r="J631">
        <v>31</v>
      </c>
      <c r="K631" s="1" t="s">
        <v>1498</v>
      </c>
      <c r="L631">
        <v>2025</v>
      </c>
    </row>
    <row r="632" spans="1:12" x14ac:dyDescent="0.3">
      <c r="A632" s="1" t="s">
        <v>1044</v>
      </c>
      <c r="B632" s="4">
        <v>45369</v>
      </c>
      <c r="C632" s="1" t="s">
        <v>218</v>
      </c>
      <c r="D632" s="1" t="s">
        <v>111</v>
      </c>
      <c r="E632">
        <v>9</v>
      </c>
      <c r="F632">
        <v>91.3</v>
      </c>
      <c r="G632">
        <v>821.7</v>
      </c>
      <c r="H632">
        <v>246.51</v>
      </c>
      <c r="I632" s="1" t="s">
        <v>15</v>
      </c>
      <c r="J632">
        <v>18</v>
      </c>
      <c r="K632" s="1" t="s">
        <v>1491</v>
      </c>
      <c r="L632">
        <v>2024</v>
      </c>
    </row>
    <row r="633" spans="1:12" x14ac:dyDescent="0.3">
      <c r="A633" s="1" t="s">
        <v>1045</v>
      </c>
      <c r="B633" s="4">
        <v>45328</v>
      </c>
      <c r="C633" s="1" t="s">
        <v>220</v>
      </c>
      <c r="D633" s="1" t="s">
        <v>111</v>
      </c>
      <c r="E633">
        <v>5</v>
      </c>
      <c r="F633">
        <v>91.3</v>
      </c>
      <c r="G633">
        <v>456.5</v>
      </c>
      <c r="H633">
        <v>136.94999999999999</v>
      </c>
      <c r="I633" s="1" t="s">
        <v>36</v>
      </c>
      <c r="J633">
        <v>6</v>
      </c>
      <c r="K633" s="1" t="s">
        <v>1494</v>
      </c>
      <c r="L633">
        <v>2024</v>
      </c>
    </row>
    <row r="634" spans="1:12" x14ac:dyDescent="0.3">
      <c r="A634" s="1" t="s">
        <v>1046</v>
      </c>
      <c r="B634" s="4">
        <v>45347</v>
      </c>
      <c r="C634" s="1" t="s">
        <v>1047</v>
      </c>
      <c r="D634" s="1" t="s">
        <v>165</v>
      </c>
      <c r="E634">
        <v>6</v>
      </c>
      <c r="F634">
        <v>29.47</v>
      </c>
      <c r="G634">
        <v>176.82</v>
      </c>
      <c r="H634">
        <v>53.045999999999999</v>
      </c>
      <c r="I634" s="1" t="s">
        <v>36</v>
      </c>
      <c r="J634">
        <v>25</v>
      </c>
      <c r="K634" s="1" t="s">
        <v>1494</v>
      </c>
      <c r="L634">
        <v>2024</v>
      </c>
    </row>
    <row r="635" spans="1:12" x14ac:dyDescent="0.3">
      <c r="A635" s="1" t="s">
        <v>1048</v>
      </c>
      <c r="B635" s="4">
        <v>45920</v>
      </c>
      <c r="C635" s="1" t="s">
        <v>171</v>
      </c>
      <c r="D635" s="1" t="s">
        <v>368</v>
      </c>
      <c r="E635">
        <v>3</v>
      </c>
      <c r="F635">
        <v>34.369999999999997</v>
      </c>
      <c r="G635">
        <v>103.11</v>
      </c>
      <c r="H635">
        <v>30.933</v>
      </c>
      <c r="I635" s="1" t="s">
        <v>11</v>
      </c>
      <c r="J635">
        <v>20</v>
      </c>
      <c r="K635" s="1" t="s">
        <v>1501</v>
      </c>
      <c r="L635">
        <v>2025</v>
      </c>
    </row>
    <row r="636" spans="1:12" x14ac:dyDescent="0.3">
      <c r="A636" s="1" t="s">
        <v>1049</v>
      </c>
      <c r="B636" s="4">
        <v>45543</v>
      </c>
      <c r="C636" s="1" t="s">
        <v>637</v>
      </c>
      <c r="D636" s="1" t="s">
        <v>33</v>
      </c>
      <c r="E636">
        <v>4</v>
      </c>
      <c r="F636">
        <v>78.92</v>
      </c>
      <c r="G636">
        <v>315.68</v>
      </c>
      <c r="H636">
        <v>94.703999999999994</v>
      </c>
      <c r="I636" s="1" t="s">
        <v>11</v>
      </c>
      <c r="J636">
        <v>8</v>
      </c>
      <c r="K636" s="1" t="s">
        <v>1501</v>
      </c>
      <c r="L636">
        <v>2024</v>
      </c>
    </row>
    <row r="637" spans="1:12" x14ac:dyDescent="0.3">
      <c r="A637" s="1" t="s">
        <v>1050</v>
      </c>
      <c r="B637" s="4">
        <v>45561</v>
      </c>
      <c r="C637" s="1" t="s">
        <v>792</v>
      </c>
      <c r="D637" s="1" t="s">
        <v>18</v>
      </c>
      <c r="E637">
        <v>8</v>
      </c>
      <c r="F637">
        <v>185.22</v>
      </c>
      <c r="G637">
        <v>1481.76</v>
      </c>
      <c r="H637">
        <v>444.52799999999996</v>
      </c>
      <c r="I637" s="1" t="s">
        <v>36</v>
      </c>
      <c r="J637">
        <v>26</v>
      </c>
      <c r="K637" s="1" t="s">
        <v>1501</v>
      </c>
      <c r="L637">
        <v>2024</v>
      </c>
    </row>
    <row r="638" spans="1:12" x14ac:dyDescent="0.3">
      <c r="A638" s="1" t="s">
        <v>1051</v>
      </c>
      <c r="B638" s="4">
        <v>45835</v>
      </c>
      <c r="C638" s="1" t="s">
        <v>71</v>
      </c>
      <c r="D638" s="1" t="s">
        <v>176</v>
      </c>
      <c r="E638">
        <v>9</v>
      </c>
      <c r="F638">
        <v>68.41</v>
      </c>
      <c r="G638">
        <v>615.69000000000005</v>
      </c>
      <c r="H638">
        <v>184.70700000000002</v>
      </c>
      <c r="I638" s="1" t="s">
        <v>11</v>
      </c>
      <c r="J638">
        <v>27</v>
      </c>
      <c r="K638" s="1" t="s">
        <v>1497</v>
      </c>
      <c r="L638">
        <v>2025</v>
      </c>
    </row>
    <row r="639" spans="1:12" x14ac:dyDescent="0.3">
      <c r="A639" s="1" t="s">
        <v>1052</v>
      </c>
      <c r="B639" s="4">
        <v>45960</v>
      </c>
      <c r="C639" s="1" t="s">
        <v>438</v>
      </c>
      <c r="D639" s="1" t="s">
        <v>83</v>
      </c>
      <c r="E639">
        <v>5</v>
      </c>
      <c r="F639">
        <v>28.49</v>
      </c>
      <c r="G639">
        <v>142.44999999999999</v>
      </c>
      <c r="H639">
        <v>42.734999999999992</v>
      </c>
      <c r="I639" s="1" t="s">
        <v>19</v>
      </c>
      <c r="J639">
        <v>30</v>
      </c>
      <c r="K639" s="1" t="s">
        <v>1490</v>
      </c>
      <c r="L639">
        <v>2025</v>
      </c>
    </row>
    <row r="640" spans="1:12" x14ac:dyDescent="0.3">
      <c r="A640" s="1" t="s">
        <v>1053</v>
      </c>
      <c r="B640" s="4">
        <v>45781</v>
      </c>
      <c r="C640" s="1" t="s">
        <v>106</v>
      </c>
      <c r="D640" s="1" t="s">
        <v>45</v>
      </c>
      <c r="E640">
        <v>9</v>
      </c>
      <c r="F640">
        <v>24.62</v>
      </c>
      <c r="G640">
        <v>221.58</v>
      </c>
      <c r="H640">
        <v>66.474000000000004</v>
      </c>
      <c r="I640" s="1" t="s">
        <v>19</v>
      </c>
      <c r="J640">
        <v>4</v>
      </c>
      <c r="K640" s="1" t="s">
        <v>1492</v>
      </c>
      <c r="L640">
        <v>2025</v>
      </c>
    </row>
    <row r="641" spans="1:12" x14ac:dyDescent="0.3">
      <c r="A641" s="1" t="s">
        <v>1054</v>
      </c>
      <c r="B641" s="4">
        <v>45791</v>
      </c>
      <c r="C641" s="1" t="s">
        <v>385</v>
      </c>
      <c r="D641" s="1" t="s">
        <v>51</v>
      </c>
      <c r="E641">
        <v>4</v>
      </c>
      <c r="F641">
        <v>64.62</v>
      </c>
      <c r="G641">
        <v>258.48</v>
      </c>
      <c r="H641">
        <v>77.543999999999997</v>
      </c>
      <c r="I641" s="1" t="s">
        <v>11</v>
      </c>
      <c r="J641">
        <v>14</v>
      </c>
      <c r="K641" s="1" t="s">
        <v>1492</v>
      </c>
      <c r="L641">
        <v>2025</v>
      </c>
    </row>
    <row r="642" spans="1:12" x14ac:dyDescent="0.3">
      <c r="A642" s="1" t="s">
        <v>1055</v>
      </c>
      <c r="B642" s="4">
        <v>45543</v>
      </c>
      <c r="C642" s="1" t="s">
        <v>466</v>
      </c>
      <c r="D642" s="1" t="s">
        <v>14</v>
      </c>
      <c r="E642">
        <v>9</v>
      </c>
      <c r="F642">
        <v>86.37</v>
      </c>
      <c r="G642">
        <v>777.33</v>
      </c>
      <c r="H642">
        <v>233.19900000000001</v>
      </c>
      <c r="I642" s="1" t="s">
        <v>19</v>
      </c>
      <c r="J642">
        <v>8</v>
      </c>
      <c r="K642" s="1" t="s">
        <v>1501</v>
      </c>
      <c r="L642">
        <v>2024</v>
      </c>
    </row>
    <row r="643" spans="1:12" x14ac:dyDescent="0.3">
      <c r="A643" s="1" t="s">
        <v>1056</v>
      </c>
      <c r="B643" s="4">
        <v>46004</v>
      </c>
      <c r="C643" s="1" t="s">
        <v>101</v>
      </c>
      <c r="D643" s="1" t="s">
        <v>80</v>
      </c>
      <c r="E643">
        <v>5</v>
      </c>
      <c r="F643">
        <v>48.76</v>
      </c>
      <c r="G643">
        <v>243.8</v>
      </c>
      <c r="H643">
        <v>73.14</v>
      </c>
      <c r="I643" s="1" t="s">
        <v>11</v>
      </c>
      <c r="J643">
        <v>13</v>
      </c>
      <c r="K643" s="1" t="s">
        <v>1495</v>
      </c>
      <c r="L643">
        <v>2025</v>
      </c>
    </row>
    <row r="644" spans="1:12" x14ac:dyDescent="0.3">
      <c r="A644" s="1" t="s">
        <v>1057</v>
      </c>
      <c r="B644" s="4">
        <v>45455</v>
      </c>
      <c r="C644" s="1" t="s">
        <v>160</v>
      </c>
      <c r="D644" s="1" t="s">
        <v>145</v>
      </c>
      <c r="E644">
        <v>4</v>
      </c>
      <c r="F644">
        <v>180.47</v>
      </c>
      <c r="G644">
        <v>721.88</v>
      </c>
      <c r="H644">
        <v>216.56399999999999</v>
      </c>
      <c r="I644" s="1" t="s">
        <v>11</v>
      </c>
      <c r="J644">
        <v>12</v>
      </c>
      <c r="K644" s="1" t="s">
        <v>1497</v>
      </c>
      <c r="L644">
        <v>2024</v>
      </c>
    </row>
    <row r="645" spans="1:12" x14ac:dyDescent="0.3">
      <c r="A645" s="1" t="s">
        <v>1058</v>
      </c>
      <c r="B645" s="4">
        <v>46016</v>
      </c>
      <c r="C645" s="1" t="s">
        <v>412</v>
      </c>
      <c r="D645" s="1" t="s">
        <v>48</v>
      </c>
      <c r="E645">
        <v>4</v>
      </c>
      <c r="F645">
        <v>17.64</v>
      </c>
      <c r="G645">
        <v>70.56</v>
      </c>
      <c r="H645">
        <v>21.167999999999999</v>
      </c>
      <c r="I645" s="1" t="s">
        <v>15</v>
      </c>
      <c r="J645">
        <v>25</v>
      </c>
      <c r="K645" s="1" t="s">
        <v>1495</v>
      </c>
      <c r="L645">
        <v>2025</v>
      </c>
    </row>
    <row r="646" spans="1:12" x14ac:dyDescent="0.3">
      <c r="A646" s="1" t="s">
        <v>1059</v>
      </c>
      <c r="B646" s="4">
        <v>45308</v>
      </c>
      <c r="C646" s="1" t="s">
        <v>1060</v>
      </c>
      <c r="D646" s="1" t="s">
        <v>102</v>
      </c>
      <c r="E646">
        <v>4</v>
      </c>
      <c r="F646">
        <v>41.45</v>
      </c>
      <c r="G646">
        <v>165.8</v>
      </c>
      <c r="H646">
        <v>49.74</v>
      </c>
      <c r="I646" s="1" t="s">
        <v>19</v>
      </c>
      <c r="J646">
        <v>17</v>
      </c>
      <c r="K646" s="1" t="s">
        <v>1493</v>
      </c>
      <c r="L646">
        <v>2024</v>
      </c>
    </row>
    <row r="647" spans="1:12" x14ac:dyDescent="0.3">
      <c r="A647" s="1" t="s">
        <v>1061</v>
      </c>
      <c r="B647" s="4">
        <v>45419</v>
      </c>
      <c r="C647" s="1" t="s">
        <v>713</v>
      </c>
      <c r="D647" s="1" t="s">
        <v>123</v>
      </c>
      <c r="E647">
        <v>3</v>
      </c>
      <c r="F647">
        <v>20.28</v>
      </c>
      <c r="G647">
        <v>60.84</v>
      </c>
      <c r="H647">
        <v>18.251999999999999</v>
      </c>
      <c r="I647" s="1" t="s">
        <v>15</v>
      </c>
      <c r="J647">
        <v>7</v>
      </c>
      <c r="K647" s="1" t="s">
        <v>1492</v>
      </c>
      <c r="L647">
        <v>2024</v>
      </c>
    </row>
    <row r="648" spans="1:12" x14ac:dyDescent="0.3">
      <c r="A648" s="1" t="s">
        <v>1062</v>
      </c>
      <c r="B648" s="4">
        <v>45776</v>
      </c>
      <c r="C648" s="1" t="s">
        <v>56</v>
      </c>
      <c r="D648" s="1" t="s">
        <v>88</v>
      </c>
      <c r="E648">
        <v>6</v>
      </c>
      <c r="F648">
        <v>162.21</v>
      </c>
      <c r="G648">
        <v>973.26</v>
      </c>
      <c r="H648">
        <v>291.97800000000001</v>
      </c>
      <c r="I648" s="1" t="s">
        <v>36</v>
      </c>
      <c r="J648">
        <v>29</v>
      </c>
      <c r="K648" s="1" t="s">
        <v>1496</v>
      </c>
      <c r="L648">
        <v>2025</v>
      </c>
    </row>
    <row r="649" spans="1:12" x14ac:dyDescent="0.3">
      <c r="A649" s="1" t="s">
        <v>1063</v>
      </c>
      <c r="B649" s="4">
        <v>45815</v>
      </c>
      <c r="C649" s="1" t="s">
        <v>1064</v>
      </c>
      <c r="D649" s="1" t="s">
        <v>148</v>
      </c>
      <c r="E649">
        <v>7</v>
      </c>
      <c r="F649">
        <v>118.95</v>
      </c>
      <c r="G649">
        <v>832.65</v>
      </c>
      <c r="H649">
        <v>249.79499999999999</v>
      </c>
      <c r="I649" s="1" t="s">
        <v>36</v>
      </c>
      <c r="J649">
        <v>7</v>
      </c>
      <c r="K649" s="1" t="s">
        <v>1497</v>
      </c>
      <c r="L649">
        <v>2025</v>
      </c>
    </row>
    <row r="650" spans="1:12" x14ac:dyDescent="0.3">
      <c r="A650" s="1" t="s">
        <v>1065</v>
      </c>
      <c r="B650" s="4">
        <v>45560</v>
      </c>
      <c r="C650" s="1" t="s">
        <v>331</v>
      </c>
      <c r="D650" s="1" t="s">
        <v>30</v>
      </c>
      <c r="E650">
        <v>6</v>
      </c>
      <c r="F650">
        <v>74.61</v>
      </c>
      <c r="G650">
        <v>447.66</v>
      </c>
      <c r="H650">
        <v>134.298</v>
      </c>
      <c r="I650" s="1" t="s">
        <v>11</v>
      </c>
      <c r="J650">
        <v>25</v>
      </c>
      <c r="K650" s="1" t="s">
        <v>1501</v>
      </c>
      <c r="L650">
        <v>2024</v>
      </c>
    </row>
    <row r="651" spans="1:12" x14ac:dyDescent="0.3">
      <c r="A651" s="1" t="s">
        <v>1066</v>
      </c>
      <c r="B651" s="4">
        <v>45476</v>
      </c>
      <c r="C651" s="1" t="s">
        <v>1067</v>
      </c>
      <c r="D651" s="1" t="s">
        <v>332</v>
      </c>
      <c r="E651">
        <v>8</v>
      </c>
      <c r="F651">
        <v>115.1</v>
      </c>
      <c r="G651">
        <v>920.8</v>
      </c>
      <c r="H651">
        <v>276.23999999999995</v>
      </c>
      <c r="I651" s="1" t="s">
        <v>11</v>
      </c>
      <c r="J651">
        <v>3</v>
      </c>
      <c r="K651" s="1" t="s">
        <v>1498</v>
      </c>
      <c r="L651">
        <v>2024</v>
      </c>
    </row>
    <row r="652" spans="1:12" x14ac:dyDescent="0.3">
      <c r="A652" s="1" t="s">
        <v>1068</v>
      </c>
      <c r="B652" s="4">
        <v>45891</v>
      </c>
      <c r="C652" s="1" t="s">
        <v>279</v>
      </c>
      <c r="D652" s="1" t="s">
        <v>327</v>
      </c>
      <c r="E652">
        <v>9</v>
      </c>
      <c r="F652">
        <v>89.24</v>
      </c>
      <c r="G652">
        <v>803.16</v>
      </c>
      <c r="H652">
        <v>240.94799999999998</v>
      </c>
      <c r="I652" s="1" t="s">
        <v>19</v>
      </c>
      <c r="J652">
        <v>22</v>
      </c>
      <c r="K652" s="1" t="s">
        <v>1499</v>
      </c>
      <c r="L652">
        <v>2025</v>
      </c>
    </row>
    <row r="653" spans="1:12" x14ac:dyDescent="0.3">
      <c r="A653" s="1" t="s">
        <v>1069</v>
      </c>
      <c r="B653" s="4">
        <v>45608</v>
      </c>
      <c r="C653" s="1" t="s">
        <v>392</v>
      </c>
      <c r="D653" s="1" t="s">
        <v>57</v>
      </c>
      <c r="E653">
        <v>2</v>
      </c>
      <c r="F653">
        <v>38.93</v>
      </c>
      <c r="G653">
        <v>77.86</v>
      </c>
      <c r="H653">
        <v>23.358000000000001</v>
      </c>
      <c r="I653" s="1" t="s">
        <v>36</v>
      </c>
      <c r="J653">
        <v>12</v>
      </c>
      <c r="K653" s="1" t="s">
        <v>1500</v>
      </c>
      <c r="L653">
        <v>2024</v>
      </c>
    </row>
    <row r="654" spans="1:12" x14ac:dyDescent="0.3">
      <c r="A654" s="1" t="s">
        <v>1070</v>
      </c>
      <c r="B654" s="4">
        <v>45569</v>
      </c>
      <c r="C654" s="1" t="s">
        <v>326</v>
      </c>
      <c r="D654" s="1" t="s">
        <v>72</v>
      </c>
      <c r="E654">
        <v>8</v>
      </c>
      <c r="F654">
        <v>134.61000000000001</v>
      </c>
      <c r="G654">
        <v>1076.8800000000001</v>
      </c>
      <c r="H654">
        <v>323.06400000000002</v>
      </c>
      <c r="I654" s="1" t="s">
        <v>11</v>
      </c>
      <c r="J654">
        <v>4</v>
      </c>
      <c r="K654" s="1" t="s">
        <v>1490</v>
      </c>
      <c r="L654">
        <v>2024</v>
      </c>
    </row>
    <row r="655" spans="1:12" x14ac:dyDescent="0.3">
      <c r="A655" s="1" t="s">
        <v>1071</v>
      </c>
      <c r="B655" s="4">
        <v>45317</v>
      </c>
      <c r="C655" s="1" t="s">
        <v>87</v>
      </c>
      <c r="D655" s="1" t="s">
        <v>151</v>
      </c>
      <c r="E655">
        <v>9</v>
      </c>
      <c r="F655">
        <v>89.88</v>
      </c>
      <c r="G655">
        <v>808.92</v>
      </c>
      <c r="H655">
        <v>242.67599999999999</v>
      </c>
      <c r="I655" s="1" t="s">
        <v>19</v>
      </c>
      <c r="J655">
        <v>26</v>
      </c>
      <c r="K655" s="1" t="s">
        <v>1493</v>
      </c>
      <c r="L655">
        <v>2024</v>
      </c>
    </row>
    <row r="656" spans="1:12" x14ac:dyDescent="0.3">
      <c r="A656" s="1" t="s">
        <v>1072</v>
      </c>
      <c r="B656" s="4">
        <v>45327</v>
      </c>
      <c r="C656" s="1" t="s">
        <v>392</v>
      </c>
      <c r="D656" s="1" t="s">
        <v>102</v>
      </c>
      <c r="E656">
        <v>1</v>
      </c>
      <c r="F656">
        <v>41.45</v>
      </c>
      <c r="G656">
        <v>41.45</v>
      </c>
      <c r="H656">
        <v>12.435</v>
      </c>
      <c r="I656" s="1" t="s">
        <v>19</v>
      </c>
      <c r="J656">
        <v>5</v>
      </c>
      <c r="K656" s="1" t="s">
        <v>1494</v>
      </c>
      <c r="L656">
        <v>2024</v>
      </c>
    </row>
    <row r="657" spans="1:12" x14ac:dyDescent="0.3">
      <c r="A657" s="1" t="s">
        <v>1073</v>
      </c>
      <c r="B657" s="4">
        <v>45680</v>
      </c>
      <c r="C657" s="1" t="s">
        <v>702</v>
      </c>
      <c r="D657" s="1" t="s">
        <v>102</v>
      </c>
      <c r="E657">
        <v>2</v>
      </c>
      <c r="F657">
        <v>41.45</v>
      </c>
      <c r="G657">
        <v>82.9</v>
      </c>
      <c r="H657">
        <v>24.87</v>
      </c>
      <c r="I657" s="1" t="s">
        <v>19</v>
      </c>
      <c r="J657">
        <v>23</v>
      </c>
      <c r="K657" s="1" t="s">
        <v>1493</v>
      </c>
      <c r="L657">
        <v>2025</v>
      </c>
    </row>
    <row r="658" spans="1:12" x14ac:dyDescent="0.3">
      <c r="A658" s="1" t="s">
        <v>1074</v>
      </c>
      <c r="B658" s="4">
        <v>45897</v>
      </c>
      <c r="C658" s="1" t="s">
        <v>1075</v>
      </c>
      <c r="D658" s="1" t="s">
        <v>60</v>
      </c>
      <c r="E658">
        <v>7</v>
      </c>
      <c r="F658">
        <v>107.88</v>
      </c>
      <c r="G658">
        <v>755.16</v>
      </c>
      <c r="H658">
        <v>226.54799999999997</v>
      </c>
      <c r="I658" s="1" t="s">
        <v>15</v>
      </c>
      <c r="J658">
        <v>28</v>
      </c>
      <c r="K658" s="1" t="s">
        <v>1499</v>
      </c>
      <c r="L658">
        <v>2025</v>
      </c>
    </row>
    <row r="659" spans="1:12" x14ac:dyDescent="0.3">
      <c r="A659" s="1" t="s">
        <v>1076</v>
      </c>
      <c r="B659" s="4">
        <v>45916</v>
      </c>
      <c r="C659" s="1" t="s">
        <v>1064</v>
      </c>
      <c r="D659" s="1" t="s">
        <v>18</v>
      </c>
      <c r="E659">
        <v>10</v>
      </c>
      <c r="F659">
        <v>185.22</v>
      </c>
      <c r="G659">
        <v>1852.2</v>
      </c>
      <c r="H659">
        <v>555.66</v>
      </c>
      <c r="I659" s="1" t="s">
        <v>11</v>
      </c>
      <c r="J659">
        <v>16</v>
      </c>
      <c r="K659" s="1" t="s">
        <v>1501</v>
      </c>
      <c r="L659">
        <v>2025</v>
      </c>
    </row>
    <row r="660" spans="1:12" x14ac:dyDescent="0.3">
      <c r="A660" s="1" t="s">
        <v>1077</v>
      </c>
      <c r="B660" s="4">
        <v>45509</v>
      </c>
      <c r="C660" s="1" t="s">
        <v>767</v>
      </c>
      <c r="D660" s="1" t="s">
        <v>83</v>
      </c>
      <c r="E660">
        <v>3</v>
      </c>
      <c r="F660">
        <v>28.49</v>
      </c>
      <c r="G660">
        <v>85.47</v>
      </c>
      <c r="H660">
        <v>25.640999999999998</v>
      </c>
      <c r="I660" s="1" t="s">
        <v>19</v>
      </c>
      <c r="J660">
        <v>5</v>
      </c>
      <c r="K660" s="1" t="s">
        <v>1499</v>
      </c>
      <c r="L660">
        <v>2024</v>
      </c>
    </row>
    <row r="661" spans="1:12" x14ac:dyDescent="0.3">
      <c r="A661" s="1" t="s">
        <v>1078</v>
      </c>
      <c r="B661" s="4">
        <v>45452</v>
      </c>
      <c r="C661" s="1" t="s">
        <v>1079</v>
      </c>
      <c r="D661" s="1" t="s">
        <v>88</v>
      </c>
      <c r="E661">
        <v>10</v>
      </c>
      <c r="F661">
        <v>162.21</v>
      </c>
      <c r="G661">
        <v>1622.1</v>
      </c>
      <c r="H661">
        <v>486.62999999999994</v>
      </c>
      <c r="I661" s="1" t="s">
        <v>36</v>
      </c>
      <c r="J661">
        <v>9</v>
      </c>
      <c r="K661" s="1" t="s">
        <v>1497</v>
      </c>
      <c r="L661">
        <v>2024</v>
      </c>
    </row>
    <row r="662" spans="1:12" x14ac:dyDescent="0.3">
      <c r="A662" s="1" t="s">
        <v>1080</v>
      </c>
      <c r="B662" s="4">
        <v>45310</v>
      </c>
      <c r="C662" s="1" t="s">
        <v>1081</v>
      </c>
      <c r="D662" s="1" t="s">
        <v>75</v>
      </c>
      <c r="E662">
        <v>3</v>
      </c>
      <c r="F662">
        <v>49.95</v>
      </c>
      <c r="G662">
        <v>149.85</v>
      </c>
      <c r="H662">
        <v>44.954999999999998</v>
      </c>
      <c r="I662" s="1" t="s">
        <v>15</v>
      </c>
      <c r="J662">
        <v>19</v>
      </c>
      <c r="K662" s="1" t="s">
        <v>1493</v>
      </c>
      <c r="L662">
        <v>2024</v>
      </c>
    </row>
    <row r="663" spans="1:12" x14ac:dyDescent="0.3">
      <c r="A663" s="1" t="s">
        <v>1082</v>
      </c>
      <c r="B663" s="4">
        <v>45694</v>
      </c>
      <c r="C663" s="1" t="s">
        <v>1083</v>
      </c>
      <c r="D663" s="1" t="s">
        <v>165</v>
      </c>
      <c r="E663">
        <v>4</v>
      </c>
      <c r="F663">
        <v>29.47</v>
      </c>
      <c r="G663">
        <v>117.88</v>
      </c>
      <c r="H663">
        <v>35.363999999999997</v>
      </c>
      <c r="I663" s="1" t="s">
        <v>19</v>
      </c>
      <c r="J663">
        <v>6</v>
      </c>
      <c r="K663" s="1" t="s">
        <v>1494</v>
      </c>
      <c r="L663">
        <v>2025</v>
      </c>
    </row>
    <row r="664" spans="1:12" x14ac:dyDescent="0.3">
      <c r="A664" s="1" t="s">
        <v>1084</v>
      </c>
      <c r="B664" s="4">
        <v>45700</v>
      </c>
      <c r="C664" s="1" t="s">
        <v>272</v>
      </c>
      <c r="D664" s="1" t="s">
        <v>60</v>
      </c>
      <c r="E664">
        <v>1</v>
      </c>
      <c r="F664">
        <v>107.88</v>
      </c>
      <c r="G664">
        <v>107.88</v>
      </c>
      <c r="H664">
        <v>32.363999999999997</v>
      </c>
      <c r="I664" s="1" t="s">
        <v>11</v>
      </c>
      <c r="J664">
        <v>12</v>
      </c>
      <c r="K664" s="1" t="s">
        <v>1494</v>
      </c>
      <c r="L664">
        <v>2025</v>
      </c>
    </row>
    <row r="665" spans="1:12" x14ac:dyDescent="0.3">
      <c r="A665" s="1" t="s">
        <v>1085</v>
      </c>
      <c r="B665" s="4">
        <v>45663</v>
      </c>
      <c r="C665" s="1" t="s">
        <v>577</v>
      </c>
      <c r="D665" s="1" t="s">
        <v>33</v>
      </c>
      <c r="E665">
        <v>4</v>
      </c>
      <c r="F665">
        <v>78.92</v>
      </c>
      <c r="G665">
        <v>315.68</v>
      </c>
      <c r="H665">
        <v>94.703999999999994</v>
      </c>
      <c r="I665" s="1" t="s">
        <v>15</v>
      </c>
      <c r="J665">
        <v>6</v>
      </c>
      <c r="K665" s="1" t="s">
        <v>1493</v>
      </c>
      <c r="L665">
        <v>2025</v>
      </c>
    </row>
    <row r="666" spans="1:12" x14ac:dyDescent="0.3">
      <c r="A666" s="1" t="s">
        <v>1086</v>
      </c>
      <c r="B666" s="4">
        <v>45809</v>
      </c>
      <c r="C666" s="1" t="s">
        <v>1087</v>
      </c>
      <c r="D666" s="1" t="s">
        <v>339</v>
      </c>
      <c r="E666">
        <v>7</v>
      </c>
      <c r="F666">
        <v>73.89</v>
      </c>
      <c r="G666">
        <v>517.23</v>
      </c>
      <c r="H666">
        <v>155.16900000000001</v>
      </c>
      <c r="I666" s="1" t="s">
        <v>15</v>
      </c>
      <c r="J666">
        <v>1</v>
      </c>
      <c r="K666" s="1" t="s">
        <v>1497</v>
      </c>
      <c r="L666">
        <v>2025</v>
      </c>
    </row>
    <row r="667" spans="1:12" x14ac:dyDescent="0.3">
      <c r="A667" s="1" t="s">
        <v>1088</v>
      </c>
      <c r="B667" s="4">
        <v>45363</v>
      </c>
      <c r="C667" s="1" t="s">
        <v>252</v>
      </c>
      <c r="D667" s="1" t="s">
        <v>83</v>
      </c>
      <c r="E667">
        <v>1</v>
      </c>
      <c r="F667">
        <v>28.49</v>
      </c>
      <c r="G667">
        <v>28.49</v>
      </c>
      <c r="H667">
        <v>8.5469999999999988</v>
      </c>
      <c r="I667" s="1" t="s">
        <v>11</v>
      </c>
      <c r="J667">
        <v>12</v>
      </c>
      <c r="K667" s="1" t="s">
        <v>1491</v>
      </c>
      <c r="L667">
        <v>2024</v>
      </c>
    </row>
    <row r="668" spans="1:12" x14ac:dyDescent="0.3">
      <c r="A668" s="1" t="s">
        <v>1089</v>
      </c>
      <c r="B668" s="4">
        <v>45608</v>
      </c>
      <c r="C668" s="1" t="s">
        <v>980</v>
      </c>
      <c r="D668" s="1" t="s">
        <v>54</v>
      </c>
      <c r="E668">
        <v>10</v>
      </c>
      <c r="F668">
        <v>28.55</v>
      </c>
      <c r="G668">
        <v>285.5</v>
      </c>
      <c r="H668">
        <v>85.649999999999991</v>
      </c>
      <c r="I668" s="1" t="s">
        <v>15</v>
      </c>
      <c r="J668">
        <v>12</v>
      </c>
      <c r="K668" s="1" t="s">
        <v>1500</v>
      </c>
      <c r="L668">
        <v>2024</v>
      </c>
    </row>
    <row r="669" spans="1:12" x14ac:dyDescent="0.3">
      <c r="A669" s="1" t="s">
        <v>1090</v>
      </c>
      <c r="B669" s="4">
        <v>45559</v>
      </c>
      <c r="C669" s="1" t="s">
        <v>281</v>
      </c>
      <c r="D669" s="1" t="s">
        <v>151</v>
      </c>
      <c r="E669">
        <v>10</v>
      </c>
      <c r="F669">
        <v>89.88</v>
      </c>
      <c r="G669">
        <v>898.8</v>
      </c>
      <c r="H669">
        <v>269.64</v>
      </c>
      <c r="I669" s="1" t="s">
        <v>36</v>
      </c>
      <c r="J669">
        <v>24</v>
      </c>
      <c r="K669" s="1" t="s">
        <v>1501</v>
      </c>
      <c r="L669">
        <v>2024</v>
      </c>
    </row>
    <row r="670" spans="1:12" x14ac:dyDescent="0.3">
      <c r="A670" s="1" t="s">
        <v>1091</v>
      </c>
      <c r="B670" s="4">
        <v>45406</v>
      </c>
      <c r="C670" s="1" t="s">
        <v>260</v>
      </c>
      <c r="D670" s="1" t="s">
        <v>54</v>
      </c>
      <c r="E670">
        <v>8</v>
      </c>
      <c r="F670">
        <v>28.55</v>
      </c>
      <c r="G670">
        <v>228.4</v>
      </c>
      <c r="H670">
        <v>68.52</v>
      </c>
      <c r="I670" s="1" t="s">
        <v>11</v>
      </c>
      <c r="J670">
        <v>24</v>
      </c>
      <c r="K670" s="1" t="s">
        <v>1496</v>
      </c>
      <c r="L670">
        <v>2024</v>
      </c>
    </row>
    <row r="671" spans="1:12" x14ac:dyDescent="0.3">
      <c r="A671" s="1" t="s">
        <v>1092</v>
      </c>
      <c r="B671" s="4">
        <v>45904</v>
      </c>
      <c r="C671" s="1" t="s">
        <v>101</v>
      </c>
      <c r="D671" s="1" t="s">
        <v>88</v>
      </c>
      <c r="E671">
        <v>4</v>
      </c>
      <c r="F671">
        <v>162.21</v>
      </c>
      <c r="G671">
        <v>648.84</v>
      </c>
      <c r="H671">
        <v>194.65200000000002</v>
      </c>
      <c r="I671" s="1" t="s">
        <v>36</v>
      </c>
      <c r="J671">
        <v>4</v>
      </c>
      <c r="K671" s="1" t="s">
        <v>1501</v>
      </c>
      <c r="L671">
        <v>2025</v>
      </c>
    </row>
    <row r="672" spans="1:12" x14ac:dyDescent="0.3">
      <c r="A672" s="1" t="s">
        <v>1093</v>
      </c>
      <c r="B672" s="4">
        <v>45763</v>
      </c>
      <c r="C672" s="1" t="s">
        <v>408</v>
      </c>
      <c r="D672" s="1" t="s">
        <v>48</v>
      </c>
      <c r="E672">
        <v>4</v>
      </c>
      <c r="F672">
        <v>17.64</v>
      </c>
      <c r="G672">
        <v>70.56</v>
      </c>
      <c r="H672">
        <v>21.167999999999999</v>
      </c>
      <c r="I672" s="1" t="s">
        <v>36</v>
      </c>
      <c r="J672">
        <v>16</v>
      </c>
      <c r="K672" s="1" t="s">
        <v>1496</v>
      </c>
      <c r="L672">
        <v>2025</v>
      </c>
    </row>
    <row r="673" spans="1:12" x14ac:dyDescent="0.3">
      <c r="A673" s="1" t="s">
        <v>1094</v>
      </c>
      <c r="B673" s="4">
        <v>45922</v>
      </c>
      <c r="C673" s="1" t="s">
        <v>355</v>
      </c>
      <c r="D673" s="1" t="s">
        <v>14</v>
      </c>
      <c r="E673">
        <v>9</v>
      </c>
      <c r="F673">
        <v>86.37</v>
      </c>
      <c r="G673">
        <v>777.33</v>
      </c>
      <c r="H673">
        <v>233.19900000000001</v>
      </c>
      <c r="I673" s="1" t="s">
        <v>15</v>
      </c>
      <c r="J673">
        <v>22</v>
      </c>
      <c r="K673" s="1" t="s">
        <v>1501</v>
      </c>
      <c r="L673">
        <v>2025</v>
      </c>
    </row>
    <row r="674" spans="1:12" x14ac:dyDescent="0.3">
      <c r="A674" s="1" t="s">
        <v>1095</v>
      </c>
      <c r="B674" s="4">
        <v>45462</v>
      </c>
      <c r="C674" s="1" t="s">
        <v>447</v>
      </c>
      <c r="D674" s="1" t="s">
        <v>246</v>
      </c>
      <c r="E674">
        <v>2</v>
      </c>
      <c r="F674">
        <v>17.22</v>
      </c>
      <c r="G674">
        <v>34.44</v>
      </c>
      <c r="H674">
        <v>10.331999999999999</v>
      </c>
      <c r="I674" s="1" t="s">
        <v>19</v>
      </c>
      <c r="J674">
        <v>19</v>
      </c>
      <c r="K674" s="1" t="s">
        <v>1497</v>
      </c>
      <c r="L674">
        <v>2024</v>
      </c>
    </row>
    <row r="675" spans="1:12" x14ac:dyDescent="0.3">
      <c r="A675" s="1" t="s">
        <v>1096</v>
      </c>
      <c r="B675" s="4">
        <v>45999</v>
      </c>
      <c r="C675" s="1" t="s">
        <v>595</v>
      </c>
      <c r="D675" s="1" t="s">
        <v>99</v>
      </c>
      <c r="E675">
        <v>1</v>
      </c>
      <c r="F675">
        <v>162.96</v>
      </c>
      <c r="G675">
        <v>162.96</v>
      </c>
      <c r="H675">
        <v>48.887999999999998</v>
      </c>
      <c r="I675" s="1" t="s">
        <v>36</v>
      </c>
      <c r="J675">
        <v>8</v>
      </c>
      <c r="K675" s="1" t="s">
        <v>1495</v>
      </c>
      <c r="L675">
        <v>2025</v>
      </c>
    </row>
    <row r="676" spans="1:12" x14ac:dyDescent="0.3">
      <c r="A676" s="1" t="s">
        <v>1097</v>
      </c>
      <c r="B676" s="4">
        <v>45734</v>
      </c>
      <c r="C676" s="1" t="s">
        <v>431</v>
      </c>
      <c r="D676" s="1" t="s">
        <v>111</v>
      </c>
      <c r="E676">
        <v>3</v>
      </c>
      <c r="F676">
        <v>91.3</v>
      </c>
      <c r="G676">
        <v>273.89999999999998</v>
      </c>
      <c r="H676">
        <v>82.169999999999987</v>
      </c>
      <c r="I676" s="1" t="s">
        <v>11</v>
      </c>
      <c r="J676">
        <v>18</v>
      </c>
      <c r="K676" s="1" t="s">
        <v>1491</v>
      </c>
      <c r="L676">
        <v>2025</v>
      </c>
    </row>
    <row r="677" spans="1:12" x14ac:dyDescent="0.3">
      <c r="A677" s="1" t="s">
        <v>1098</v>
      </c>
      <c r="B677" s="4">
        <v>45858</v>
      </c>
      <c r="C677" s="1" t="s">
        <v>162</v>
      </c>
      <c r="D677" s="1" t="s">
        <v>33</v>
      </c>
      <c r="E677">
        <v>3</v>
      </c>
      <c r="F677">
        <v>78.92</v>
      </c>
      <c r="G677">
        <v>236.76</v>
      </c>
      <c r="H677">
        <v>71.027999999999992</v>
      </c>
      <c r="I677" s="1" t="s">
        <v>36</v>
      </c>
      <c r="J677">
        <v>20</v>
      </c>
      <c r="K677" s="1" t="s">
        <v>1498</v>
      </c>
      <c r="L677">
        <v>2025</v>
      </c>
    </row>
    <row r="678" spans="1:12" x14ac:dyDescent="0.3">
      <c r="A678" s="1" t="s">
        <v>1099</v>
      </c>
      <c r="B678" s="4">
        <v>45340</v>
      </c>
      <c r="C678" s="1" t="s">
        <v>734</v>
      </c>
      <c r="D678" s="1" t="s">
        <v>42</v>
      </c>
      <c r="E678">
        <v>2</v>
      </c>
      <c r="F678">
        <v>165.9</v>
      </c>
      <c r="G678">
        <v>331.8</v>
      </c>
      <c r="H678">
        <v>99.54</v>
      </c>
      <c r="I678" s="1" t="s">
        <v>15</v>
      </c>
      <c r="J678">
        <v>18</v>
      </c>
      <c r="K678" s="1" t="s">
        <v>1494</v>
      </c>
      <c r="L678">
        <v>2024</v>
      </c>
    </row>
    <row r="679" spans="1:12" x14ac:dyDescent="0.3">
      <c r="A679" s="1" t="s">
        <v>1100</v>
      </c>
      <c r="B679" s="4">
        <v>45711</v>
      </c>
      <c r="C679" s="1" t="s">
        <v>949</v>
      </c>
      <c r="D679" s="1" t="s">
        <v>332</v>
      </c>
      <c r="E679">
        <v>4</v>
      </c>
      <c r="F679">
        <v>115.1</v>
      </c>
      <c r="G679">
        <v>460.4</v>
      </c>
      <c r="H679">
        <v>138.11999999999998</v>
      </c>
      <c r="I679" s="1" t="s">
        <v>11</v>
      </c>
      <c r="J679">
        <v>23</v>
      </c>
      <c r="K679" s="1" t="s">
        <v>1494</v>
      </c>
      <c r="L679">
        <v>2025</v>
      </c>
    </row>
    <row r="680" spans="1:12" x14ac:dyDescent="0.3">
      <c r="A680" s="1" t="s">
        <v>1101</v>
      </c>
      <c r="B680" s="4">
        <v>45296</v>
      </c>
      <c r="C680" s="1" t="s">
        <v>265</v>
      </c>
      <c r="D680" s="1" t="s">
        <v>60</v>
      </c>
      <c r="E680">
        <v>7</v>
      </c>
      <c r="F680">
        <v>107.88</v>
      </c>
      <c r="G680">
        <v>755.16</v>
      </c>
      <c r="H680">
        <v>226.54799999999997</v>
      </c>
      <c r="I680" s="1" t="s">
        <v>11</v>
      </c>
      <c r="J680">
        <v>5</v>
      </c>
      <c r="K680" s="1" t="s">
        <v>1493</v>
      </c>
      <c r="L680">
        <v>2024</v>
      </c>
    </row>
    <row r="681" spans="1:12" x14ac:dyDescent="0.3">
      <c r="A681" s="1" t="s">
        <v>1102</v>
      </c>
      <c r="B681" s="4">
        <v>45822</v>
      </c>
      <c r="C681" s="1" t="s">
        <v>410</v>
      </c>
      <c r="D681" s="1" t="s">
        <v>99</v>
      </c>
      <c r="E681">
        <v>10</v>
      </c>
      <c r="F681">
        <v>162.96</v>
      </c>
      <c r="G681">
        <v>1629.6</v>
      </c>
      <c r="H681">
        <v>488.87999999999994</v>
      </c>
      <c r="I681" s="1" t="s">
        <v>36</v>
      </c>
      <c r="J681">
        <v>14</v>
      </c>
      <c r="K681" s="1" t="s">
        <v>1497</v>
      </c>
      <c r="L681">
        <v>2025</v>
      </c>
    </row>
    <row r="682" spans="1:12" x14ac:dyDescent="0.3">
      <c r="A682" s="1" t="s">
        <v>1103</v>
      </c>
      <c r="B682" s="4">
        <v>45891</v>
      </c>
      <c r="C682" s="1" t="s">
        <v>1047</v>
      </c>
      <c r="D682" s="1" t="s">
        <v>183</v>
      </c>
      <c r="E682">
        <v>3</v>
      </c>
      <c r="F682">
        <v>12.47</v>
      </c>
      <c r="G682">
        <v>37.409999999999997</v>
      </c>
      <c r="H682">
        <v>11.222999999999999</v>
      </c>
      <c r="I682" s="1" t="s">
        <v>19</v>
      </c>
      <c r="J682">
        <v>22</v>
      </c>
      <c r="K682" s="1" t="s">
        <v>1499</v>
      </c>
      <c r="L682">
        <v>2025</v>
      </c>
    </row>
    <row r="683" spans="1:12" x14ac:dyDescent="0.3">
      <c r="A683" s="1" t="s">
        <v>1104</v>
      </c>
      <c r="B683" s="4">
        <v>45389</v>
      </c>
      <c r="C683" s="1" t="s">
        <v>581</v>
      </c>
      <c r="D683" s="1" t="s">
        <v>99</v>
      </c>
      <c r="E683">
        <v>3</v>
      </c>
      <c r="F683">
        <v>162.96</v>
      </c>
      <c r="G683">
        <v>488.88</v>
      </c>
      <c r="H683">
        <v>146.66399999999999</v>
      </c>
      <c r="I683" s="1" t="s">
        <v>11</v>
      </c>
      <c r="J683">
        <v>7</v>
      </c>
      <c r="K683" s="1" t="s">
        <v>1496</v>
      </c>
      <c r="L683">
        <v>2024</v>
      </c>
    </row>
    <row r="684" spans="1:12" x14ac:dyDescent="0.3">
      <c r="A684" s="1" t="s">
        <v>1105</v>
      </c>
      <c r="B684" s="4">
        <v>45718</v>
      </c>
      <c r="C684" s="1" t="s">
        <v>1106</v>
      </c>
      <c r="D684" s="1" t="s">
        <v>30</v>
      </c>
      <c r="E684">
        <v>1</v>
      </c>
      <c r="F684">
        <v>74.61</v>
      </c>
      <c r="G684">
        <v>74.61</v>
      </c>
      <c r="H684">
        <v>22.382999999999999</v>
      </c>
      <c r="I684" s="1" t="s">
        <v>11</v>
      </c>
      <c r="J684">
        <v>2</v>
      </c>
      <c r="K684" s="1" t="s">
        <v>1491</v>
      </c>
      <c r="L684">
        <v>2025</v>
      </c>
    </row>
    <row r="685" spans="1:12" x14ac:dyDescent="0.3">
      <c r="A685" s="1" t="s">
        <v>1107</v>
      </c>
      <c r="B685" s="4">
        <v>45313</v>
      </c>
      <c r="C685" s="1" t="s">
        <v>50</v>
      </c>
      <c r="D685" s="1" t="s">
        <v>54</v>
      </c>
      <c r="E685">
        <v>7</v>
      </c>
      <c r="F685">
        <v>28.55</v>
      </c>
      <c r="G685">
        <v>199.85</v>
      </c>
      <c r="H685">
        <v>59.954999999999998</v>
      </c>
      <c r="I685" s="1" t="s">
        <v>19</v>
      </c>
      <c r="J685">
        <v>22</v>
      </c>
      <c r="K685" s="1" t="s">
        <v>1493</v>
      </c>
      <c r="L685">
        <v>2024</v>
      </c>
    </row>
    <row r="686" spans="1:12" x14ac:dyDescent="0.3">
      <c r="A686" s="1" t="s">
        <v>1108</v>
      </c>
      <c r="B686" s="4">
        <v>45608</v>
      </c>
      <c r="C686" s="1" t="s">
        <v>1109</v>
      </c>
      <c r="D686" s="1" t="s">
        <v>221</v>
      </c>
      <c r="E686">
        <v>6</v>
      </c>
      <c r="F686">
        <v>108.19</v>
      </c>
      <c r="G686">
        <v>649.14</v>
      </c>
      <c r="H686">
        <v>194.74199999999999</v>
      </c>
      <c r="I686" s="1" t="s">
        <v>15</v>
      </c>
      <c r="J686">
        <v>12</v>
      </c>
      <c r="K686" s="1" t="s">
        <v>1500</v>
      </c>
      <c r="L686">
        <v>2024</v>
      </c>
    </row>
    <row r="687" spans="1:12" x14ac:dyDescent="0.3">
      <c r="A687" s="1" t="s">
        <v>1110</v>
      </c>
      <c r="B687" s="4">
        <v>45312</v>
      </c>
      <c r="C687" s="1" t="s">
        <v>267</v>
      </c>
      <c r="D687" s="1" t="s">
        <v>183</v>
      </c>
      <c r="E687">
        <v>4</v>
      </c>
      <c r="F687">
        <v>12.47</v>
      </c>
      <c r="G687">
        <v>49.88</v>
      </c>
      <c r="H687">
        <v>14.964</v>
      </c>
      <c r="I687" s="1" t="s">
        <v>15</v>
      </c>
      <c r="J687">
        <v>21</v>
      </c>
      <c r="K687" s="1" t="s">
        <v>1493</v>
      </c>
      <c r="L687">
        <v>2024</v>
      </c>
    </row>
    <row r="688" spans="1:12" x14ac:dyDescent="0.3">
      <c r="A688" s="1" t="s">
        <v>1111</v>
      </c>
      <c r="B688" s="4">
        <v>45573</v>
      </c>
      <c r="C688" s="1" t="s">
        <v>450</v>
      </c>
      <c r="D688" s="1" t="s">
        <v>244</v>
      </c>
      <c r="E688">
        <v>6</v>
      </c>
      <c r="F688">
        <v>193.35</v>
      </c>
      <c r="G688">
        <v>1160.0999999999999</v>
      </c>
      <c r="H688">
        <v>348.03</v>
      </c>
      <c r="I688" s="1" t="s">
        <v>11</v>
      </c>
      <c r="J688">
        <v>8</v>
      </c>
      <c r="K688" s="1" t="s">
        <v>1490</v>
      </c>
      <c r="L688">
        <v>2024</v>
      </c>
    </row>
    <row r="689" spans="1:12" x14ac:dyDescent="0.3">
      <c r="A689" s="1" t="s">
        <v>1112</v>
      </c>
      <c r="B689" s="4">
        <v>45934</v>
      </c>
      <c r="C689" s="1" t="s">
        <v>279</v>
      </c>
      <c r="D689" s="1" t="s">
        <v>339</v>
      </c>
      <c r="E689">
        <v>10</v>
      </c>
      <c r="F689">
        <v>73.89</v>
      </c>
      <c r="G689">
        <v>738.9</v>
      </c>
      <c r="H689">
        <v>221.67</v>
      </c>
      <c r="I689" s="1" t="s">
        <v>15</v>
      </c>
      <c r="J689">
        <v>4</v>
      </c>
      <c r="K689" s="1" t="s">
        <v>1490</v>
      </c>
      <c r="L689">
        <v>2025</v>
      </c>
    </row>
    <row r="690" spans="1:12" x14ac:dyDescent="0.3">
      <c r="A690" s="1" t="s">
        <v>1113</v>
      </c>
      <c r="B690" s="4">
        <v>45841</v>
      </c>
      <c r="C690" s="1" t="s">
        <v>164</v>
      </c>
      <c r="D690" s="1" t="s">
        <v>54</v>
      </c>
      <c r="E690">
        <v>1</v>
      </c>
      <c r="F690">
        <v>28.55</v>
      </c>
      <c r="G690">
        <v>28.55</v>
      </c>
      <c r="H690">
        <v>8.5649999999999995</v>
      </c>
      <c r="I690" s="1" t="s">
        <v>11</v>
      </c>
      <c r="J690">
        <v>3</v>
      </c>
      <c r="K690" s="1" t="s">
        <v>1498</v>
      </c>
      <c r="L690">
        <v>2025</v>
      </c>
    </row>
    <row r="691" spans="1:12" x14ac:dyDescent="0.3">
      <c r="A691" s="1" t="s">
        <v>1114</v>
      </c>
      <c r="B691" s="4">
        <v>45526</v>
      </c>
      <c r="C691" s="1" t="s">
        <v>211</v>
      </c>
      <c r="D691" s="1" t="s">
        <v>51</v>
      </c>
      <c r="E691">
        <v>8</v>
      </c>
      <c r="F691">
        <v>64.62</v>
      </c>
      <c r="G691">
        <v>516.96</v>
      </c>
      <c r="H691">
        <v>155.08799999999999</v>
      </c>
      <c r="I691" s="1" t="s">
        <v>11</v>
      </c>
      <c r="J691">
        <v>22</v>
      </c>
      <c r="K691" s="1" t="s">
        <v>1499</v>
      </c>
      <c r="L691">
        <v>2024</v>
      </c>
    </row>
    <row r="692" spans="1:12" x14ac:dyDescent="0.3">
      <c r="A692" s="1" t="s">
        <v>1115</v>
      </c>
      <c r="B692" s="4">
        <v>45398</v>
      </c>
      <c r="C692" s="1" t="s">
        <v>1116</v>
      </c>
      <c r="D692" s="1" t="s">
        <v>102</v>
      </c>
      <c r="E692">
        <v>4</v>
      </c>
      <c r="F692">
        <v>41.45</v>
      </c>
      <c r="G692">
        <v>165.8</v>
      </c>
      <c r="H692">
        <v>49.74</v>
      </c>
      <c r="I692" s="1" t="s">
        <v>19</v>
      </c>
      <c r="J692">
        <v>16</v>
      </c>
      <c r="K692" s="1" t="s">
        <v>1496</v>
      </c>
      <c r="L692">
        <v>2024</v>
      </c>
    </row>
    <row r="693" spans="1:12" x14ac:dyDescent="0.3">
      <c r="A693" s="1" t="s">
        <v>1117</v>
      </c>
      <c r="B693" s="4">
        <v>45500</v>
      </c>
      <c r="C693" s="1" t="s">
        <v>1003</v>
      </c>
      <c r="D693" s="1" t="s">
        <v>18</v>
      </c>
      <c r="E693">
        <v>7</v>
      </c>
      <c r="F693">
        <v>185.22</v>
      </c>
      <c r="G693">
        <v>1296.54</v>
      </c>
      <c r="H693">
        <v>388.96199999999999</v>
      </c>
      <c r="I693" s="1" t="s">
        <v>36</v>
      </c>
      <c r="J693">
        <v>27</v>
      </c>
      <c r="K693" s="1" t="s">
        <v>1498</v>
      </c>
      <c r="L693">
        <v>2024</v>
      </c>
    </row>
    <row r="694" spans="1:12" x14ac:dyDescent="0.3">
      <c r="A694" s="1" t="s">
        <v>1118</v>
      </c>
      <c r="B694" s="4">
        <v>45756</v>
      </c>
      <c r="C694" s="1" t="s">
        <v>926</v>
      </c>
      <c r="D694" s="1" t="s">
        <v>261</v>
      </c>
      <c r="E694">
        <v>1</v>
      </c>
      <c r="F694">
        <v>176.31</v>
      </c>
      <c r="G694">
        <v>176.31</v>
      </c>
      <c r="H694">
        <v>52.893000000000001</v>
      </c>
      <c r="I694" s="1" t="s">
        <v>11</v>
      </c>
      <c r="J694">
        <v>9</v>
      </c>
      <c r="K694" s="1" t="s">
        <v>1496</v>
      </c>
      <c r="L694">
        <v>2025</v>
      </c>
    </row>
    <row r="695" spans="1:12" x14ac:dyDescent="0.3">
      <c r="A695" s="1" t="s">
        <v>1119</v>
      </c>
      <c r="B695" s="4">
        <v>45318</v>
      </c>
      <c r="C695" s="1" t="s">
        <v>746</v>
      </c>
      <c r="D695" s="1" t="s">
        <v>123</v>
      </c>
      <c r="E695">
        <v>2</v>
      </c>
      <c r="F695">
        <v>20.28</v>
      </c>
      <c r="G695">
        <v>40.56</v>
      </c>
      <c r="H695">
        <v>12.168000000000001</v>
      </c>
      <c r="I695" s="1" t="s">
        <v>15</v>
      </c>
      <c r="J695">
        <v>27</v>
      </c>
      <c r="K695" s="1" t="s">
        <v>1493</v>
      </c>
      <c r="L695">
        <v>2024</v>
      </c>
    </row>
    <row r="696" spans="1:12" x14ac:dyDescent="0.3">
      <c r="A696" s="1" t="s">
        <v>1120</v>
      </c>
      <c r="B696" s="4">
        <v>45297</v>
      </c>
      <c r="C696" s="1" t="s">
        <v>281</v>
      </c>
      <c r="D696" s="1" t="s">
        <v>201</v>
      </c>
      <c r="E696">
        <v>10</v>
      </c>
      <c r="F696">
        <v>53.74</v>
      </c>
      <c r="G696">
        <v>537.4</v>
      </c>
      <c r="H696">
        <v>161.22</v>
      </c>
      <c r="I696" s="1" t="s">
        <v>15</v>
      </c>
      <c r="J696">
        <v>6</v>
      </c>
      <c r="K696" s="1" t="s">
        <v>1493</v>
      </c>
      <c r="L696">
        <v>2024</v>
      </c>
    </row>
    <row r="697" spans="1:12" x14ac:dyDescent="0.3">
      <c r="A697" s="1" t="s">
        <v>1121</v>
      </c>
      <c r="B697" s="4">
        <v>45473</v>
      </c>
      <c r="C697" s="1" t="s">
        <v>486</v>
      </c>
      <c r="D697" s="1" t="s">
        <v>132</v>
      </c>
      <c r="E697">
        <v>10</v>
      </c>
      <c r="F697">
        <v>52.45</v>
      </c>
      <c r="G697">
        <v>524.5</v>
      </c>
      <c r="H697">
        <v>157.35</v>
      </c>
      <c r="I697" s="1" t="s">
        <v>36</v>
      </c>
      <c r="J697">
        <v>30</v>
      </c>
      <c r="K697" s="1" t="s">
        <v>1497</v>
      </c>
      <c r="L697">
        <v>2024</v>
      </c>
    </row>
    <row r="698" spans="1:12" x14ac:dyDescent="0.3">
      <c r="A698" s="1" t="s">
        <v>1122</v>
      </c>
      <c r="B698" s="4">
        <v>45752</v>
      </c>
      <c r="C698" s="1" t="s">
        <v>1123</v>
      </c>
      <c r="D698" s="1" t="s">
        <v>165</v>
      </c>
      <c r="E698">
        <v>8</v>
      </c>
      <c r="F698">
        <v>29.47</v>
      </c>
      <c r="G698">
        <v>235.76</v>
      </c>
      <c r="H698">
        <v>70.727999999999994</v>
      </c>
      <c r="I698" s="1" t="s">
        <v>19</v>
      </c>
      <c r="J698">
        <v>5</v>
      </c>
      <c r="K698" s="1" t="s">
        <v>1496</v>
      </c>
      <c r="L698">
        <v>2025</v>
      </c>
    </row>
    <row r="699" spans="1:12" x14ac:dyDescent="0.3">
      <c r="A699" s="1" t="s">
        <v>1124</v>
      </c>
      <c r="B699" s="4">
        <v>45672</v>
      </c>
      <c r="C699" s="1" t="s">
        <v>593</v>
      </c>
      <c r="D699" s="1" t="s">
        <v>142</v>
      </c>
      <c r="E699">
        <v>9</v>
      </c>
      <c r="F699">
        <v>52.52</v>
      </c>
      <c r="G699">
        <v>472.68</v>
      </c>
      <c r="H699">
        <v>141.804</v>
      </c>
      <c r="I699" s="1" t="s">
        <v>19</v>
      </c>
      <c r="J699">
        <v>15</v>
      </c>
      <c r="K699" s="1" t="s">
        <v>1493</v>
      </c>
      <c r="L699">
        <v>2025</v>
      </c>
    </row>
    <row r="700" spans="1:12" x14ac:dyDescent="0.3">
      <c r="A700" s="1" t="s">
        <v>1125</v>
      </c>
      <c r="B700" s="4">
        <v>45458</v>
      </c>
      <c r="C700" s="1" t="s">
        <v>921</v>
      </c>
      <c r="D700" s="1" t="s">
        <v>60</v>
      </c>
      <c r="E700">
        <v>2</v>
      </c>
      <c r="F700">
        <v>107.88</v>
      </c>
      <c r="G700">
        <v>215.76</v>
      </c>
      <c r="H700">
        <v>64.727999999999994</v>
      </c>
      <c r="I700" s="1" t="s">
        <v>36</v>
      </c>
      <c r="J700">
        <v>15</v>
      </c>
      <c r="K700" s="1" t="s">
        <v>1497</v>
      </c>
      <c r="L700">
        <v>2024</v>
      </c>
    </row>
    <row r="701" spans="1:12" x14ac:dyDescent="0.3">
      <c r="A701" s="1" t="s">
        <v>1126</v>
      </c>
      <c r="B701" s="4">
        <v>45375</v>
      </c>
      <c r="C701" s="1" t="s">
        <v>348</v>
      </c>
      <c r="D701" s="1" t="s">
        <v>54</v>
      </c>
      <c r="E701">
        <v>7</v>
      </c>
      <c r="F701">
        <v>28.55</v>
      </c>
      <c r="G701">
        <v>199.85</v>
      </c>
      <c r="H701">
        <v>59.954999999999998</v>
      </c>
      <c r="I701" s="1" t="s">
        <v>19</v>
      </c>
      <c r="J701">
        <v>24</v>
      </c>
      <c r="K701" s="1" t="s">
        <v>1491</v>
      </c>
      <c r="L701">
        <v>2024</v>
      </c>
    </row>
    <row r="702" spans="1:12" x14ac:dyDescent="0.3">
      <c r="A702" s="1" t="s">
        <v>1127</v>
      </c>
      <c r="B702" s="4">
        <v>45668</v>
      </c>
      <c r="C702" s="1" t="s">
        <v>209</v>
      </c>
      <c r="D702" s="1" t="s">
        <v>14</v>
      </c>
      <c r="E702">
        <v>5</v>
      </c>
      <c r="F702">
        <v>86.37</v>
      </c>
      <c r="G702">
        <v>431.85</v>
      </c>
      <c r="H702">
        <v>129.55500000000001</v>
      </c>
      <c r="I702" s="1" t="s">
        <v>11</v>
      </c>
      <c r="J702">
        <v>11</v>
      </c>
      <c r="K702" s="1" t="s">
        <v>1493</v>
      </c>
      <c r="L702">
        <v>2025</v>
      </c>
    </row>
    <row r="703" spans="1:12" x14ac:dyDescent="0.3">
      <c r="A703" s="1" t="s">
        <v>1128</v>
      </c>
      <c r="B703" s="4">
        <v>45397</v>
      </c>
      <c r="C703" s="1" t="s">
        <v>1129</v>
      </c>
      <c r="D703" s="1" t="s">
        <v>18</v>
      </c>
      <c r="E703">
        <v>10</v>
      </c>
      <c r="F703">
        <v>185.22</v>
      </c>
      <c r="G703">
        <v>1852.2</v>
      </c>
      <c r="H703">
        <v>555.66</v>
      </c>
      <c r="I703" s="1" t="s">
        <v>19</v>
      </c>
      <c r="J703">
        <v>15</v>
      </c>
      <c r="K703" s="1" t="s">
        <v>1496</v>
      </c>
      <c r="L703">
        <v>2024</v>
      </c>
    </row>
    <row r="704" spans="1:12" x14ac:dyDescent="0.3">
      <c r="A704" s="1" t="s">
        <v>1130</v>
      </c>
      <c r="B704" s="4">
        <v>45878</v>
      </c>
      <c r="C704" s="1" t="s">
        <v>881</v>
      </c>
      <c r="D704" s="1" t="s">
        <v>72</v>
      </c>
      <c r="E704">
        <v>6</v>
      </c>
      <c r="F704">
        <v>134.61000000000001</v>
      </c>
      <c r="G704">
        <v>807.66</v>
      </c>
      <c r="H704">
        <v>242.29799999999997</v>
      </c>
      <c r="I704" s="1" t="s">
        <v>19</v>
      </c>
      <c r="J704">
        <v>9</v>
      </c>
      <c r="K704" s="1" t="s">
        <v>1499</v>
      </c>
      <c r="L704">
        <v>2025</v>
      </c>
    </row>
    <row r="705" spans="1:12" x14ac:dyDescent="0.3">
      <c r="A705" s="1" t="s">
        <v>1131</v>
      </c>
      <c r="B705" s="4">
        <v>45656</v>
      </c>
      <c r="C705" s="1" t="s">
        <v>162</v>
      </c>
      <c r="D705" s="1" t="s">
        <v>244</v>
      </c>
      <c r="E705">
        <v>2</v>
      </c>
      <c r="F705">
        <v>193.35</v>
      </c>
      <c r="G705">
        <v>386.7</v>
      </c>
      <c r="H705">
        <v>116.00999999999999</v>
      </c>
      <c r="I705" s="1" t="s">
        <v>36</v>
      </c>
      <c r="J705">
        <v>30</v>
      </c>
      <c r="K705" s="1" t="s">
        <v>1495</v>
      </c>
      <c r="L705">
        <v>2024</v>
      </c>
    </row>
    <row r="706" spans="1:12" x14ac:dyDescent="0.3">
      <c r="A706" s="1" t="s">
        <v>1132</v>
      </c>
      <c r="B706" s="4">
        <v>45386</v>
      </c>
      <c r="C706" s="1" t="s">
        <v>1133</v>
      </c>
      <c r="D706" s="1" t="s">
        <v>114</v>
      </c>
      <c r="E706">
        <v>5</v>
      </c>
      <c r="F706">
        <v>195.89</v>
      </c>
      <c r="G706">
        <v>979.45</v>
      </c>
      <c r="H706">
        <v>293.83499999999998</v>
      </c>
      <c r="I706" s="1" t="s">
        <v>11</v>
      </c>
      <c r="J706">
        <v>4</v>
      </c>
      <c r="K706" s="1" t="s">
        <v>1496</v>
      </c>
      <c r="L706">
        <v>2024</v>
      </c>
    </row>
    <row r="707" spans="1:12" x14ac:dyDescent="0.3">
      <c r="A707" s="1" t="s">
        <v>1134</v>
      </c>
      <c r="B707" s="4">
        <v>45745</v>
      </c>
      <c r="C707" s="1" t="s">
        <v>932</v>
      </c>
      <c r="D707" s="1" t="s">
        <v>153</v>
      </c>
      <c r="E707">
        <v>1</v>
      </c>
      <c r="F707">
        <v>60.32</v>
      </c>
      <c r="G707">
        <v>60.32</v>
      </c>
      <c r="H707">
        <v>18.096</v>
      </c>
      <c r="I707" s="1" t="s">
        <v>15</v>
      </c>
      <c r="J707">
        <v>29</v>
      </c>
      <c r="K707" s="1" t="s">
        <v>1491</v>
      </c>
      <c r="L707">
        <v>2025</v>
      </c>
    </row>
    <row r="708" spans="1:12" x14ac:dyDescent="0.3">
      <c r="A708" s="1" t="s">
        <v>1135</v>
      </c>
      <c r="B708" s="4">
        <v>45354</v>
      </c>
      <c r="C708" s="1" t="s">
        <v>926</v>
      </c>
      <c r="D708" s="1" t="s">
        <v>67</v>
      </c>
      <c r="E708">
        <v>10</v>
      </c>
      <c r="F708">
        <v>29.94</v>
      </c>
      <c r="G708">
        <v>299.39999999999998</v>
      </c>
      <c r="H708">
        <v>89.82</v>
      </c>
      <c r="I708" s="1" t="s">
        <v>15</v>
      </c>
      <c r="J708">
        <v>3</v>
      </c>
      <c r="K708" s="1" t="s">
        <v>1491</v>
      </c>
      <c r="L708">
        <v>2024</v>
      </c>
    </row>
    <row r="709" spans="1:12" x14ac:dyDescent="0.3">
      <c r="A709" s="1" t="s">
        <v>1136</v>
      </c>
      <c r="B709" s="4">
        <v>45380</v>
      </c>
      <c r="C709" s="1" t="s">
        <v>526</v>
      </c>
      <c r="D709" s="1" t="s">
        <v>24</v>
      </c>
      <c r="E709">
        <v>10</v>
      </c>
      <c r="F709">
        <v>134.32</v>
      </c>
      <c r="G709">
        <v>1343.2</v>
      </c>
      <c r="H709">
        <v>402.96</v>
      </c>
      <c r="I709" s="1" t="s">
        <v>19</v>
      </c>
      <c r="J709">
        <v>29</v>
      </c>
      <c r="K709" s="1" t="s">
        <v>1491</v>
      </c>
      <c r="L709">
        <v>2024</v>
      </c>
    </row>
    <row r="710" spans="1:12" x14ac:dyDescent="0.3">
      <c r="A710" s="1" t="s">
        <v>1137</v>
      </c>
      <c r="B710" s="4">
        <v>45775</v>
      </c>
      <c r="C710" s="1" t="s">
        <v>324</v>
      </c>
      <c r="D710" s="1" t="s">
        <v>256</v>
      </c>
      <c r="E710">
        <v>10</v>
      </c>
      <c r="F710">
        <v>58.12</v>
      </c>
      <c r="G710">
        <v>581.20000000000005</v>
      </c>
      <c r="H710">
        <v>174.36</v>
      </c>
      <c r="I710" s="1" t="s">
        <v>15</v>
      </c>
      <c r="J710">
        <v>28</v>
      </c>
      <c r="K710" s="1" t="s">
        <v>1496</v>
      </c>
      <c r="L710">
        <v>2025</v>
      </c>
    </row>
    <row r="711" spans="1:12" x14ac:dyDescent="0.3">
      <c r="A711" s="1" t="s">
        <v>1138</v>
      </c>
      <c r="B711" s="4">
        <v>45598</v>
      </c>
      <c r="C711" s="1" t="s">
        <v>679</v>
      </c>
      <c r="D711" s="1" t="s">
        <v>327</v>
      </c>
      <c r="E711">
        <v>10</v>
      </c>
      <c r="F711">
        <v>89.24</v>
      </c>
      <c r="G711">
        <v>892.4</v>
      </c>
      <c r="H711">
        <v>267.71999999999997</v>
      </c>
      <c r="I711" s="1" t="s">
        <v>36</v>
      </c>
      <c r="J711">
        <v>2</v>
      </c>
      <c r="K711" s="1" t="s">
        <v>1500</v>
      </c>
      <c r="L711">
        <v>2024</v>
      </c>
    </row>
    <row r="712" spans="1:12" x14ac:dyDescent="0.3">
      <c r="A712" s="1" t="s">
        <v>1139</v>
      </c>
      <c r="B712" s="4">
        <v>45313</v>
      </c>
      <c r="C712" s="1" t="s">
        <v>1060</v>
      </c>
      <c r="D712" s="1" t="s">
        <v>244</v>
      </c>
      <c r="E712">
        <v>4</v>
      </c>
      <c r="F712">
        <v>193.35</v>
      </c>
      <c r="G712">
        <v>773.4</v>
      </c>
      <c r="H712">
        <v>232.01999999999998</v>
      </c>
      <c r="I712" s="1" t="s">
        <v>11</v>
      </c>
      <c r="J712">
        <v>22</v>
      </c>
      <c r="K712" s="1" t="s">
        <v>1493</v>
      </c>
      <c r="L712">
        <v>2024</v>
      </c>
    </row>
    <row r="713" spans="1:12" x14ac:dyDescent="0.3">
      <c r="A713" s="1" t="s">
        <v>1140</v>
      </c>
      <c r="B713" s="4">
        <v>45689</v>
      </c>
      <c r="C713" s="1" t="s">
        <v>348</v>
      </c>
      <c r="D713" s="1" t="s">
        <v>75</v>
      </c>
      <c r="E713">
        <v>6</v>
      </c>
      <c r="F713">
        <v>49.95</v>
      </c>
      <c r="G713">
        <v>299.7</v>
      </c>
      <c r="H713">
        <v>89.91</v>
      </c>
      <c r="I713" s="1" t="s">
        <v>15</v>
      </c>
      <c r="J713">
        <v>1</v>
      </c>
      <c r="K713" s="1" t="s">
        <v>1494</v>
      </c>
      <c r="L713">
        <v>2025</v>
      </c>
    </row>
    <row r="714" spans="1:12" x14ac:dyDescent="0.3">
      <c r="A714" s="1" t="s">
        <v>1141</v>
      </c>
      <c r="B714" s="4">
        <v>45411</v>
      </c>
      <c r="C714" s="1" t="s">
        <v>314</v>
      </c>
      <c r="D714" s="1" t="s">
        <v>114</v>
      </c>
      <c r="E714">
        <v>9</v>
      </c>
      <c r="F714">
        <v>195.89</v>
      </c>
      <c r="G714">
        <v>1763.01</v>
      </c>
      <c r="H714">
        <v>528.90300000000002</v>
      </c>
      <c r="I714" s="1" t="s">
        <v>19</v>
      </c>
      <c r="J714">
        <v>29</v>
      </c>
      <c r="K714" s="1" t="s">
        <v>1496</v>
      </c>
      <c r="L714">
        <v>2024</v>
      </c>
    </row>
    <row r="715" spans="1:12" x14ac:dyDescent="0.3">
      <c r="A715" s="1" t="s">
        <v>1142</v>
      </c>
      <c r="B715" s="4">
        <v>45417</v>
      </c>
      <c r="C715" s="1" t="s">
        <v>544</v>
      </c>
      <c r="D715" s="1" t="s">
        <v>42</v>
      </c>
      <c r="E715">
        <v>10</v>
      </c>
      <c r="F715">
        <v>165.9</v>
      </c>
      <c r="G715">
        <v>1659</v>
      </c>
      <c r="H715">
        <v>497.7</v>
      </c>
      <c r="I715" s="1" t="s">
        <v>15</v>
      </c>
      <c r="J715">
        <v>5</v>
      </c>
      <c r="K715" s="1" t="s">
        <v>1492</v>
      </c>
      <c r="L715">
        <v>2024</v>
      </c>
    </row>
    <row r="716" spans="1:12" x14ac:dyDescent="0.3">
      <c r="A716" s="1" t="s">
        <v>1143</v>
      </c>
      <c r="B716" s="4">
        <v>45694</v>
      </c>
      <c r="C716" s="1" t="s">
        <v>270</v>
      </c>
      <c r="D716" s="1" t="s">
        <v>261</v>
      </c>
      <c r="E716">
        <v>7</v>
      </c>
      <c r="F716">
        <v>176.31</v>
      </c>
      <c r="G716">
        <v>1234.17</v>
      </c>
      <c r="H716">
        <v>370.25100000000003</v>
      </c>
      <c r="I716" s="1" t="s">
        <v>36</v>
      </c>
      <c r="J716">
        <v>6</v>
      </c>
      <c r="K716" s="1" t="s">
        <v>1494</v>
      </c>
      <c r="L716">
        <v>2025</v>
      </c>
    </row>
    <row r="717" spans="1:12" x14ac:dyDescent="0.3">
      <c r="A717" s="1" t="s">
        <v>1144</v>
      </c>
      <c r="B717" s="4">
        <v>45967</v>
      </c>
      <c r="C717" s="1" t="s">
        <v>1145</v>
      </c>
      <c r="D717" s="1" t="s">
        <v>10</v>
      </c>
      <c r="E717">
        <v>9</v>
      </c>
      <c r="F717">
        <v>112.61</v>
      </c>
      <c r="G717">
        <v>1013.49</v>
      </c>
      <c r="H717">
        <v>304.04699999999997</v>
      </c>
      <c r="I717" s="1" t="s">
        <v>15</v>
      </c>
      <c r="J717">
        <v>6</v>
      </c>
      <c r="K717" s="1" t="s">
        <v>1500</v>
      </c>
      <c r="L717">
        <v>2025</v>
      </c>
    </row>
    <row r="718" spans="1:12" x14ac:dyDescent="0.3">
      <c r="A718" s="1" t="s">
        <v>1146</v>
      </c>
      <c r="B718" s="4">
        <v>45386</v>
      </c>
      <c r="C718" s="1" t="s">
        <v>44</v>
      </c>
      <c r="D718" s="1" t="s">
        <v>165</v>
      </c>
      <c r="E718">
        <v>10</v>
      </c>
      <c r="F718">
        <v>29.47</v>
      </c>
      <c r="G718">
        <v>294.7</v>
      </c>
      <c r="H718">
        <v>88.41</v>
      </c>
      <c r="I718" s="1" t="s">
        <v>36</v>
      </c>
      <c r="J718">
        <v>4</v>
      </c>
      <c r="K718" s="1" t="s">
        <v>1496</v>
      </c>
      <c r="L718">
        <v>2024</v>
      </c>
    </row>
    <row r="719" spans="1:12" x14ac:dyDescent="0.3">
      <c r="A719" s="1" t="s">
        <v>1147</v>
      </c>
      <c r="B719" s="4">
        <v>45313</v>
      </c>
      <c r="C719" s="1" t="s">
        <v>512</v>
      </c>
      <c r="D719" s="1" t="s">
        <v>24</v>
      </c>
      <c r="E719">
        <v>9</v>
      </c>
      <c r="F719">
        <v>134.32</v>
      </c>
      <c r="G719">
        <v>1208.8800000000001</v>
      </c>
      <c r="H719">
        <v>362.66400000000004</v>
      </c>
      <c r="I719" s="1" t="s">
        <v>15</v>
      </c>
      <c r="J719">
        <v>22</v>
      </c>
      <c r="K719" s="1" t="s">
        <v>1493</v>
      </c>
      <c r="L719">
        <v>2024</v>
      </c>
    </row>
    <row r="720" spans="1:12" x14ac:dyDescent="0.3">
      <c r="A720" s="1" t="s">
        <v>1148</v>
      </c>
      <c r="B720" s="4">
        <v>45644</v>
      </c>
      <c r="C720" s="1" t="s">
        <v>673</v>
      </c>
      <c r="D720" s="1" t="s">
        <v>24</v>
      </c>
      <c r="E720">
        <v>1</v>
      </c>
      <c r="F720">
        <v>134.32</v>
      </c>
      <c r="G720">
        <v>134.32</v>
      </c>
      <c r="H720">
        <v>40.295999999999999</v>
      </c>
      <c r="I720" s="1" t="s">
        <v>15</v>
      </c>
      <c r="J720">
        <v>18</v>
      </c>
      <c r="K720" s="1" t="s">
        <v>1495</v>
      </c>
      <c r="L720">
        <v>2024</v>
      </c>
    </row>
    <row r="721" spans="1:12" x14ac:dyDescent="0.3">
      <c r="A721" s="1" t="s">
        <v>1149</v>
      </c>
      <c r="B721" s="4">
        <v>46017</v>
      </c>
      <c r="C721" s="1" t="s">
        <v>1005</v>
      </c>
      <c r="D721" s="1" t="s">
        <v>14</v>
      </c>
      <c r="E721">
        <v>8</v>
      </c>
      <c r="F721">
        <v>86.37</v>
      </c>
      <c r="G721">
        <v>690.96</v>
      </c>
      <c r="H721">
        <v>207.28800000000001</v>
      </c>
      <c r="I721" s="1" t="s">
        <v>11</v>
      </c>
      <c r="J721">
        <v>26</v>
      </c>
      <c r="K721" s="1" t="s">
        <v>1495</v>
      </c>
      <c r="L721">
        <v>2025</v>
      </c>
    </row>
    <row r="722" spans="1:12" x14ac:dyDescent="0.3">
      <c r="A722" s="1" t="s">
        <v>1150</v>
      </c>
      <c r="B722" s="4">
        <v>45536</v>
      </c>
      <c r="C722" s="1" t="s">
        <v>1151</v>
      </c>
      <c r="D722" s="1" t="s">
        <v>339</v>
      </c>
      <c r="E722">
        <v>9</v>
      </c>
      <c r="F722">
        <v>73.89</v>
      </c>
      <c r="G722">
        <v>665.01</v>
      </c>
      <c r="H722">
        <v>199.50299999999999</v>
      </c>
      <c r="I722" s="1" t="s">
        <v>36</v>
      </c>
      <c r="J722">
        <v>1</v>
      </c>
      <c r="K722" s="1" t="s">
        <v>1501</v>
      </c>
      <c r="L722">
        <v>2024</v>
      </c>
    </row>
    <row r="723" spans="1:12" x14ac:dyDescent="0.3">
      <c r="A723" s="1" t="s">
        <v>1152</v>
      </c>
      <c r="B723" s="4">
        <v>45726</v>
      </c>
      <c r="C723" s="1" t="s">
        <v>940</v>
      </c>
      <c r="D723" s="1" t="s">
        <v>48</v>
      </c>
      <c r="E723">
        <v>2</v>
      </c>
      <c r="F723">
        <v>17.64</v>
      </c>
      <c r="G723">
        <v>35.28</v>
      </c>
      <c r="H723">
        <v>10.584</v>
      </c>
      <c r="I723" s="1" t="s">
        <v>19</v>
      </c>
      <c r="J723">
        <v>10</v>
      </c>
      <c r="K723" s="1" t="s">
        <v>1491</v>
      </c>
      <c r="L723">
        <v>2025</v>
      </c>
    </row>
    <row r="724" spans="1:12" x14ac:dyDescent="0.3">
      <c r="A724" s="1" t="s">
        <v>1153</v>
      </c>
      <c r="B724" s="4">
        <v>45980</v>
      </c>
      <c r="C724" s="1" t="s">
        <v>167</v>
      </c>
      <c r="D724" s="1" t="s">
        <v>246</v>
      </c>
      <c r="E724">
        <v>3</v>
      </c>
      <c r="F724">
        <v>17.22</v>
      </c>
      <c r="G724">
        <v>51.66</v>
      </c>
      <c r="H724">
        <v>15.497999999999998</v>
      </c>
      <c r="I724" s="1" t="s">
        <v>11</v>
      </c>
      <c r="J724">
        <v>19</v>
      </c>
      <c r="K724" s="1" t="s">
        <v>1500</v>
      </c>
      <c r="L724">
        <v>2025</v>
      </c>
    </row>
    <row r="725" spans="1:12" x14ac:dyDescent="0.3">
      <c r="A725" s="1" t="s">
        <v>1154</v>
      </c>
      <c r="B725" s="4">
        <v>45990</v>
      </c>
      <c r="C725" s="1" t="s">
        <v>243</v>
      </c>
      <c r="D725" s="1" t="s">
        <v>123</v>
      </c>
      <c r="E725">
        <v>9</v>
      </c>
      <c r="F725">
        <v>20.28</v>
      </c>
      <c r="G725">
        <v>182.52</v>
      </c>
      <c r="H725">
        <v>54.756</v>
      </c>
      <c r="I725" s="1" t="s">
        <v>15</v>
      </c>
      <c r="J725">
        <v>29</v>
      </c>
      <c r="K725" s="1" t="s">
        <v>1500</v>
      </c>
      <c r="L725">
        <v>2025</v>
      </c>
    </row>
    <row r="726" spans="1:12" x14ac:dyDescent="0.3">
      <c r="A726" s="1" t="s">
        <v>1155</v>
      </c>
      <c r="B726" s="4">
        <v>45673</v>
      </c>
      <c r="C726" s="1" t="s">
        <v>1156</v>
      </c>
      <c r="D726" s="1" t="s">
        <v>30</v>
      </c>
      <c r="E726">
        <v>6</v>
      </c>
      <c r="F726">
        <v>74.61</v>
      </c>
      <c r="G726">
        <v>447.66</v>
      </c>
      <c r="H726">
        <v>134.298</v>
      </c>
      <c r="I726" s="1" t="s">
        <v>36</v>
      </c>
      <c r="J726">
        <v>16</v>
      </c>
      <c r="K726" s="1" t="s">
        <v>1493</v>
      </c>
      <c r="L726">
        <v>2025</v>
      </c>
    </row>
    <row r="727" spans="1:12" x14ac:dyDescent="0.3">
      <c r="A727" s="1" t="s">
        <v>1157</v>
      </c>
      <c r="B727" s="4">
        <v>45991</v>
      </c>
      <c r="C727" s="1" t="s">
        <v>1158</v>
      </c>
      <c r="D727" s="1" t="s">
        <v>33</v>
      </c>
      <c r="E727">
        <v>4</v>
      </c>
      <c r="F727">
        <v>78.92</v>
      </c>
      <c r="G727">
        <v>315.68</v>
      </c>
      <c r="H727">
        <v>94.703999999999994</v>
      </c>
      <c r="I727" s="1" t="s">
        <v>11</v>
      </c>
      <c r="J727">
        <v>30</v>
      </c>
      <c r="K727" s="1" t="s">
        <v>1500</v>
      </c>
      <c r="L727">
        <v>2025</v>
      </c>
    </row>
    <row r="728" spans="1:12" x14ac:dyDescent="0.3">
      <c r="A728" s="1" t="s">
        <v>1159</v>
      </c>
      <c r="B728" s="4">
        <v>45690</v>
      </c>
      <c r="C728" s="1" t="s">
        <v>29</v>
      </c>
      <c r="D728" s="1" t="s">
        <v>368</v>
      </c>
      <c r="E728">
        <v>5</v>
      </c>
      <c r="F728">
        <v>34.369999999999997</v>
      </c>
      <c r="G728">
        <v>171.85</v>
      </c>
      <c r="H728">
        <v>51.555</v>
      </c>
      <c r="I728" s="1" t="s">
        <v>15</v>
      </c>
      <c r="J728">
        <v>2</v>
      </c>
      <c r="K728" s="1" t="s">
        <v>1494</v>
      </c>
      <c r="L728">
        <v>2025</v>
      </c>
    </row>
    <row r="729" spans="1:12" x14ac:dyDescent="0.3">
      <c r="A729" s="1" t="s">
        <v>1160</v>
      </c>
      <c r="B729" s="4">
        <v>45600</v>
      </c>
      <c r="C729" s="1" t="s">
        <v>1161</v>
      </c>
      <c r="D729" s="1" t="s">
        <v>148</v>
      </c>
      <c r="E729">
        <v>3</v>
      </c>
      <c r="F729">
        <v>118.95</v>
      </c>
      <c r="G729">
        <v>356.85</v>
      </c>
      <c r="H729">
        <v>107.05500000000001</v>
      </c>
      <c r="I729" s="1" t="s">
        <v>36</v>
      </c>
      <c r="J729">
        <v>4</v>
      </c>
      <c r="K729" s="1" t="s">
        <v>1500</v>
      </c>
      <c r="L729">
        <v>2024</v>
      </c>
    </row>
    <row r="730" spans="1:12" x14ac:dyDescent="0.3">
      <c r="A730" s="1" t="s">
        <v>1162</v>
      </c>
      <c r="B730" s="4">
        <v>45489</v>
      </c>
      <c r="C730" s="1" t="s">
        <v>297</v>
      </c>
      <c r="D730" s="1" t="s">
        <v>27</v>
      </c>
      <c r="E730">
        <v>6</v>
      </c>
      <c r="F730">
        <v>35.03</v>
      </c>
      <c r="G730">
        <v>210.18</v>
      </c>
      <c r="H730">
        <v>63.054000000000002</v>
      </c>
      <c r="I730" s="1" t="s">
        <v>36</v>
      </c>
      <c r="J730">
        <v>16</v>
      </c>
      <c r="K730" s="1" t="s">
        <v>1498</v>
      </c>
      <c r="L730">
        <v>2024</v>
      </c>
    </row>
    <row r="731" spans="1:12" x14ac:dyDescent="0.3">
      <c r="A731" s="1" t="s">
        <v>1163</v>
      </c>
      <c r="B731" s="4">
        <v>45296</v>
      </c>
      <c r="C731" s="1" t="s">
        <v>817</v>
      </c>
      <c r="D731" s="1" t="s">
        <v>75</v>
      </c>
      <c r="E731">
        <v>8</v>
      </c>
      <c r="F731">
        <v>49.95</v>
      </c>
      <c r="G731">
        <v>399.6</v>
      </c>
      <c r="H731">
        <v>119.88</v>
      </c>
      <c r="I731" s="1" t="s">
        <v>19</v>
      </c>
      <c r="J731">
        <v>5</v>
      </c>
      <c r="K731" s="1" t="s">
        <v>1493</v>
      </c>
      <c r="L731">
        <v>2024</v>
      </c>
    </row>
    <row r="732" spans="1:12" x14ac:dyDescent="0.3">
      <c r="A732" s="1" t="s">
        <v>1164</v>
      </c>
      <c r="B732" s="4">
        <v>45936</v>
      </c>
      <c r="C732" s="1" t="s">
        <v>719</v>
      </c>
      <c r="D732" s="1" t="s">
        <v>142</v>
      </c>
      <c r="E732">
        <v>3</v>
      </c>
      <c r="F732">
        <v>52.52</v>
      </c>
      <c r="G732">
        <v>157.56</v>
      </c>
      <c r="H732">
        <v>47.268000000000001</v>
      </c>
      <c r="I732" s="1" t="s">
        <v>11</v>
      </c>
      <c r="J732">
        <v>6</v>
      </c>
      <c r="K732" s="1" t="s">
        <v>1490</v>
      </c>
      <c r="L732">
        <v>2025</v>
      </c>
    </row>
    <row r="733" spans="1:12" x14ac:dyDescent="0.3">
      <c r="A733" s="1" t="s">
        <v>1165</v>
      </c>
      <c r="B733" s="4">
        <v>45428</v>
      </c>
      <c r="C733" s="1" t="s">
        <v>1151</v>
      </c>
      <c r="D733" s="1" t="s">
        <v>256</v>
      </c>
      <c r="E733">
        <v>3</v>
      </c>
      <c r="F733">
        <v>58.12</v>
      </c>
      <c r="G733">
        <v>174.36</v>
      </c>
      <c r="H733">
        <v>52.308</v>
      </c>
      <c r="I733" s="1" t="s">
        <v>36</v>
      </c>
      <c r="J733">
        <v>16</v>
      </c>
      <c r="K733" s="1" t="s">
        <v>1492</v>
      </c>
      <c r="L733">
        <v>2024</v>
      </c>
    </row>
    <row r="734" spans="1:12" x14ac:dyDescent="0.3">
      <c r="A734" s="1" t="s">
        <v>1166</v>
      </c>
      <c r="B734" s="4">
        <v>45435</v>
      </c>
      <c r="C734" s="1" t="s">
        <v>516</v>
      </c>
      <c r="D734" s="1" t="s">
        <v>30</v>
      </c>
      <c r="E734">
        <v>6</v>
      </c>
      <c r="F734">
        <v>74.61</v>
      </c>
      <c r="G734">
        <v>447.66</v>
      </c>
      <c r="H734">
        <v>134.298</v>
      </c>
      <c r="I734" s="1" t="s">
        <v>19</v>
      </c>
      <c r="J734">
        <v>23</v>
      </c>
      <c r="K734" s="1" t="s">
        <v>1492</v>
      </c>
      <c r="L734">
        <v>2024</v>
      </c>
    </row>
    <row r="735" spans="1:12" x14ac:dyDescent="0.3">
      <c r="A735" s="1" t="s">
        <v>1167</v>
      </c>
      <c r="B735" s="4">
        <v>45885</v>
      </c>
      <c r="C735" s="1" t="s">
        <v>1168</v>
      </c>
      <c r="D735" s="1" t="s">
        <v>48</v>
      </c>
      <c r="E735">
        <v>6</v>
      </c>
      <c r="F735">
        <v>17.64</v>
      </c>
      <c r="G735">
        <v>105.84</v>
      </c>
      <c r="H735">
        <v>31.751999999999999</v>
      </c>
      <c r="I735" s="1" t="s">
        <v>11</v>
      </c>
      <c r="J735">
        <v>16</v>
      </c>
      <c r="K735" s="1" t="s">
        <v>1499</v>
      </c>
      <c r="L735">
        <v>2025</v>
      </c>
    </row>
    <row r="736" spans="1:12" x14ac:dyDescent="0.3">
      <c r="A736" s="1" t="s">
        <v>1169</v>
      </c>
      <c r="B736" s="4">
        <v>45954</v>
      </c>
      <c r="C736" s="1" t="s">
        <v>1170</v>
      </c>
      <c r="D736" s="1" t="s">
        <v>18</v>
      </c>
      <c r="E736">
        <v>8</v>
      </c>
      <c r="F736">
        <v>185.22</v>
      </c>
      <c r="G736">
        <v>1481.76</v>
      </c>
      <c r="H736">
        <v>444.52799999999996</v>
      </c>
      <c r="I736" s="1" t="s">
        <v>11</v>
      </c>
      <c r="J736">
        <v>24</v>
      </c>
      <c r="K736" s="1" t="s">
        <v>1490</v>
      </c>
      <c r="L736">
        <v>2025</v>
      </c>
    </row>
    <row r="737" spans="1:12" x14ac:dyDescent="0.3">
      <c r="A737" s="1" t="s">
        <v>1171</v>
      </c>
      <c r="B737" s="4">
        <v>45651</v>
      </c>
      <c r="C737" s="1" t="s">
        <v>188</v>
      </c>
      <c r="D737" s="1" t="s">
        <v>261</v>
      </c>
      <c r="E737">
        <v>9</v>
      </c>
      <c r="F737">
        <v>176.31</v>
      </c>
      <c r="G737">
        <v>1586.79</v>
      </c>
      <c r="H737">
        <v>476.03699999999998</v>
      </c>
      <c r="I737" s="1" t="s">
        <v>15</v>
      </c>
      <c r="J737">
        <v>25</v>
      </c>
      <c r="K737" s="1" t="s">
        <v>1495</v>
      </c>
      <c r="L737">
        <v>2024</v>
      </c>
    </row>
    <row r="738" spans="1:12" x14ac:dyDescent="0.3">
      <c r="A738" s="1" t="s">
        <v>1172</v>
      </c>
      <c r="B738" s="4">
        <v>45895</v>
      </c>
      <c r="C738" s="1" t="s">
        <v>71</v>
      </c>
      <c r="D738" s="1" t="s">
        <v>193</v>
      </c>
      <c r="E738">
        <v>1</v>
      </c>
      <c r="F738">
        <v>157.13</v>
      </c>
      <c r="G738">
        <v>157.13</v>
      </c>
      <c r="H738">
        <v>47.138999999999996</v>
      </c>
      <c r="I738" s="1" t="s">
        <v>19</v>
      </c>
      <c r="J738">
        <v>26</v>
      </c>
      <c r="K738" s="1" t="s">
        <v>1499</v>
      </c>
      <c r="L738">
        <v>2025</v>
      </c>
    </row>
    <row r="739" spans="1:12" x14ac:dyDescent="0.3">
      <c r="A739" s="1" t="s">
        <v>1173</v>
      </c>
      <c r="B739" s="4">
        <v>45389</v>
      </c>
      <c r="C739" s="1" t="s">
        <v>512</v>
      </c>
      <c r="D739" s="1" t="s">
        <v>148</v>
      </c>
      <c r="E739">
        <v>7</v>
      </c>
      <c r="F739">
        <v>118.95</v>
      </c>
      <c r="G739">
        <v>832.65</v>
      </c>
      <c r="H739">
        <v>249.79499999999999</v>
      </c>
      <c r="I739" s="1" t="s">
        <v>15</v>
      </c>
      <c r="J739">
        <v>7</v>
      </c>
      <c r="K739" s="1" t="s">
        <v>1496</v>
      </c>
      <c r="L739">
        <v>2024</v>
      </c>
    </row>
    <row r="740" spans="1:12" x14ac:dyDescent="0.3">
      <c r="A740" s="1" t="s">
        <v>1174</v>
      </c>
      <c r="B740" s="4">
        <v>45692</v>
      </c>
      <c r="C740" s="1" t="s">
        <v>684</v>
      </c>
      <c r="D740" s="1" t="s">
        <v>145</v>
      </c>
      <c r="E740">
        <v>7</v>
      </c>
      <c r="F740">
        <v>180.47</v>
      </c>
      <c r="G740">
        <v>1263.29</v>
      </c>
      <c r="H740">
        <v>378.98699999999997</v>
      </c>
      <c r="I740" s="1" t="s">
        <v>11</v>
      </c>
      <c r="J740">
        <v>4</v>
      </c>
      <c r="K740" s="1" t="s">
        <v>1494</v>
      </c>
      <c r="L740">
        <v>2025</v>
      </c>
    </row>
    <row r="741" spans="1:12" x14ac:dyDescent="0.3">
      <c r="A741" s="1" t="s">
        <v>1175</v>
      </c>
      <c r="B741" s="4">
        <v>45701</v>
      </c>
      <c r="C741" s="1" t="s">
        <v>823</v>
      </c>
      <c r="D741" s="1" t="s">
        <v>60</v>
      </c>
      <c r="E741">
        <v>2</v>
      </c>
      <c r="F741">
        <v>107.88</v>
      </c>
      <c r="G741">
        <v>215.76</v>
      </c>
      <c r="H741">
        <v>64.727999999999994</v>
      </c>
      <c r="I741" s="1" t="s">
        <v>11</v>
      </c>
      <c r="J741">
        <v>13</v>
      </c>
      <c r="K741" s="1" t="s">
        <v>1494</v>
      </c>
      <c r="L741">
        <v>2025</v>
      </c>
    </row>
    <row r="742" spans="1:12" x14ac:dyDescent="0.3">
      <c r="A742" s="1" t="s">
        <v>1176</v>
      </c>
      <c r="B742" s="4">
        <v>45335</v>
      </c>
      <c r="C742" s="1" t="s">
        <v>481</v>
      </c>
      <c r="D742" s="1" t="s">
        <v>239</v>
      </c>
      <c r="E742">
        <v>1</v>
      </c>
      <c r="F742">
        <v>103.45</v>
      </c>
      <c r="G742">
        <v>103.45</v>
      </c>
      <c r="H742">
        <v>31.035</v>
      </c>
      <c r="I742" s="1" t="s">
        <v>15</v>
      </c>
      <c r="J742">
        <v>13</v>
      </c>
      <c r="K742" s="1" t="s">
        <v>1494</v>
      </c>
      <c r="L742">
        <v>2024</v>
      </c>
    </row>
    <row r="743" spans="1:12" x14ac:dyDescent="0.3">
      <c r="A743" s="1" t="s">
        <v>1177</v>
      </c>
      <c r="B743" s="4">
        <v>45885</v>
      </c>
      <c r="C743" s="1" t="s">
        <v>234</v>
      </c>
      <c r="D743" s="1" t="s">
        <v>54</v>
      </c>
      <c r="E743">
        <v>7</v>
      </c>
      <c r="F743">
        <v>28.55</v>
      </c>
      <c r="G743">
        <v>199.85</v>
      </c>
      <c r="H743">
        <v>59.954999999999998</v>
      </c>
      <c r="I743" s="1" t="s">
        <v>36</v>
      </c>
      <c r="J743">
        <v>16</v>
      </c>
      <c r="K743" s="1" t="s">
        <v>1499</v>
      </c>
      <c r="L743">
        <v>2025</v>
      </c>
    </row>
    <row r="744" spans="1:12" x14ac:dyDescent="0.3">
      <c r="A744" s="1" t="s">
        <v>1178</v>
      </c>
      <c r="B744" s="4">
        <v>45921</v>
      </c>
      <c r="C744" s="1" t="s">
        <v>1179</v>
      </c>
      <c r="D744" s="1" t="s">
        <v>67</v>
      </c>
      <c r="E744">
        <v>4</v>
      </c>
      <c r="F744">
        <v>29.94</v>
      </c>
      <c r="G744">
        <v>119.76</v>
      </c>
      <c r="H744">
        <v>35.927999999999997</v>
      </c>
      <c r="I744" s="1" t="s">
        <v>19</v>
      </c>
      <c r="J744">
        <v>21</v>
      </c>
      <c r="K744" s="1" t="s">
        <v>1501</v>
      </c>
      <c r="L744">
        <v>2025</v>
      </c>
    </row>
    <row r="745" spans="1:12" x14ac:dyDescent="0.3">
      <c r="A745" s="1" t="s">
        <v>1180</v>
      </c>
      <c r="B745" s="4">
        <v>45816</v>
      </c>
      <c r="C745" s="1" t="s">
        <v>903</v>
      </c>
      <c r="D745" s="1" t="s">
        <v>148</v>
      </c>
      <c r="E745">
        <v>2</v>
      </c>
      <c r="F745">
        <v>118.95</v>
      </c>
      <c r="G745">
        <v>237.9</v>
      </c>
      <c r="H745">
        <v>71.37</v>
      </c>
      <c r="I745" s="1" t="s">
        <v>11</v>
      </c>
      <c r="J745">
        <v>8</v>
      </c>
      <c r="K745" s="1" t="s">
        <v>1497</v>
      </c>
      <c r="L745">
        <v>2025</v>
      </c>
    </row>
    <row r="746" spans="1:12" x14ac:dyDescent="0.3">
      <c r="A746" s="1" t="s">
        <v>1181</v>
      </c>
      <c r="B746" s="4">
        <v>45987</v>
      </c>
      <c r="C746" s="1" t="s">
        <v>1182</v>
      </c>
      <c r="D746" s="1" t="s">
        <v>39</v>
      </c>
      <c r="E746">
        <v>1</v>
      </c>
      <c r="F746">
        <v>18.850000000000001</v>
      </c>
      <c r="G746">
        <v>18.850000000000001</v>
      </c>
      <c r="H746">
        <v>5.6550000000000002</v>
      </c>
      <c r="I746" s="1" t="s">
        <v>19</v>
      </c>
      <c r="J746">
        <v>26</v>
      </c>
      <c r="K746" s="1" t="s">
        <v>1500</v>
      </c>
      <c r="L746">
        <v>2025</v>
      </c>
    </row>
    <row r="747" spans="1:12" x14ac:dyDescent="0.3">
      <c r="A747" s="1" t="s">
        <v>1183</v>
      </c>
      <c r="B747" s="4">
        <v>45997</v>
      </c>
      <c r="C747" s="1" t="s">
        <v>1184</v>
      </c>
      <c r="D747" s="1" t="s">
        <v>221</v>
      </c>
      <c r="E747">
        <v>7</v>
      </c>
      <c r="F747">
        <v>108.19</v>
      </c>
      <c r="G747">
        <v>757.33</v>
      </c>
      <c r="H747">
        <v>227.19900000000001</v>
      </c>
      <c r="I747" s="1" t="s">
        <v>15</v>
      </c>
      <c r="J747">
        <v>6</v>
      </c>
      <c r="K747" s="1" t="s">
        <v>1495</v>
      </c>
      <c r="L747">
        <v>2025</v>
      </c>
    </row>
    <row r="748" spans="1:12" x14ac:dyDescent="0.3">
      <c r="A748" s="1" t="s">
        <v>1185</v>
      </c>
      <c r="B748" s="4">
        <v>45931</v>
      </c>
      <c r="C748" s="1" t="s">
        <v>324</v>
      </c>
      <c r="D748" s="1" t="s">
        <v>256</v>
      </c>
      <c r="E748">
        <v>5</v>
      </c>
      <c r="F748">
        <v>58.12</v>
      </c>
      <c r="G748">
        <v>290.60000000000002</v>
      </c>
      <c r="H748">
        <v>87.18</v>
      </c>
      <c r="I748" s="1" t="s">
        <v>15</v>
      </c>
      <c r="J748">
        <v>1</v>
      </c>
      <c r="K748" s="1" t="s">
        <v>1490</v>
      </c>
      <c r="L748">
        <v>2025</v>
      </c>
    </row>
    <row r="749" spans="1:12" x14ac:dyDescent="0.3">
      <c r="A749" s="1" t="s">
        <v>1186</v>
      </c>
      <c r="B749" s="4">
        <v>46004</v>
      </c>
      <c r="C749" s="1" t="s">
        <v>760</v>
      </c>
      <c r="D749" s="1" t="s">
        <v>18</v>
      </c>
      <c r="E749">
        <v>8</v>
      </c>
      <c r="F749">
        <v>185.22</v>
      </c>
      <c r="G749">
        <v>1481.76</v>
      </c>
      <c r="H749">
        <v>444.52799999999996</v>
      </c>
      <c r="I749" s="1" t="s">
        <v>36</v>
      </c>
      <c r="J749">
        <v>13</v>
      </c>
      <c r="K749" s="1" t="s">
        <v>1495</v>
      </c>
      <c r="L749">
        <v>2025</v>
      </c>
    </row>
    <row r="750" spans="1:12" x14ac:dyDescent="0.3">
      <c r="A750" s="1" t="s">
        <v>1187</v>
      </c>
      <c r="B750" s="4">
        <v>45788</v>
      </c>
      <c r="C750" s="1" t="s">
        <v>98</v>
      </c>
      <c r="D750" s="1" t="s">
        <v>228</v>
      </c>
      <c r="E750">
        <v>8</v>
      </c>
      <c r="F750">
        <v>104.84</v>
      </c>
      <c r="G750">
        <v>838.72</v>
      </c>
      <c r="H750">
        <v>251.61599999999999</v>
      </c>
      <c r="I750" s="1" t="s">
        <v>11</v>
      </c>
      <c r="J750">
        <v>11</v>
      </c>
      <c r="K750" s="1" t="s">
        <v>1492</v>
      </c>
      <c r="L750">
        <v>2025</v>
      </c>
    </row>
    <row r="751" spans="1:12" x14ac:dyDescent="0.3">
      <c r="A751" s="1" t="s">
        <v>1188</v>
      </c>
      <c r="B751" s="4">
        <v>45558</v>
      </c>
      <c r="C751" s="1" t="s">
        <v>120</v>
      </c>
      <c r="D751" s="1" t="s">
        <v>256</v>
      </c>
      <c r="E751">
        <v>8</v>
      </c>
      <c r="F751">
        <v>58.12</v>
      </c>
      <c r="G751">
        <v>464.96</v>
      </c>
      <c r="H751">
        <v>139.488</v>
      </c>
      <c r="I751" s="1" t="s">
        <v>11</v>
      </c>
      <c r="J751">
        <v>23</v>
      </c>
      <c r="K751" s="1" t="s">
        <v>1501</v>
      </c>
      <c r="L751">
        <v>2024</v>
      </c>
    </row>
    <row r="752" spans="1:12" x14ac:dyDescent="0.3">
      <c r="A752" s="1" t="s">
        <v>1189</v>
      </c>
      <c r="B752" s="4">
        <v>45334</v>
      </c>
      <c r="C752" s="1" t="s">
        <v>514</v>
      </c>
      <c r="D752" s="1" t="s">
        <v>88</v>
      </c>
      <c r="E752">
        <v>9</v>
      </c>
      <c r="F752">
        <v>162.21</v>
      </c>
      <c r="G752">
        <v>1459.89</v>
      </c>
      <c r="H752">
        <v>437.96700000000004</v>
      </c>
      <c r="I752" s="1" t="s">
        <v>11</v>
      </c>
      <c r="J752">
        <v>12</v>
      </c>
      <c r="K752" s="1" t="s">
        <v>1494</v>
      </c>
      <c r="L752">
        <v>2024</v>
      </c>
    </row>
    <row r="753" spans="1:12" x14ac:dyDescent="0.3">
      <c r="A753" s="1" t="s">
        <v>1190</v>
      </c>
      <c r="B753" s="4">
        <v>45378</v>
      </c>
      <c r="C753" s="1" t="s">
        <v>746</v>
      </c>
      <c r="D753" s="1" t="s">
        <v>176</v>
      </c>
      <c r="E753">
        <v>1</v>
      </c>
      <c r="F753">
        <v>68.41</v>
      </c>
      <c r="G753">
        <v>68.41</v>
      </c>
      <c r="H753">
        <v>20.523</v>
      </c>
      <c r="I753" s="1" t="s">
        <v>11</v>
      </c>
      <c r="J753">
        <v>27</v>
      </c>
      <c r="K753" s="1" t="s">
        <v>1491</v>
      </c>
      <c r="L753">
        <v>2024</v>
      </c>
    </row>
    <row r="754" spans="1:12" x14ac:dyDescent="0.3">
      <c r="A754" s="1" t="s">
        <v>1191</v>
      </c>
      <c r="B754" s="4">
        <v>45733</v>
      </c>
      <c r="C754" s="1" t="s">
        <v>182</v>
      </c>
      <c r="D754" s="1" t="s">
        <v>327</v>
      </c>
      <c r="E754">
        <v>7</v>
      </c>
      <c r="F754">
        <v>89.24</v>
      </c>
      <c r="G754">
        <v>624.67999999999995</v>
      </c>
      <c r="H754">
        <v>187.40399999999997</v>
      </c>
      <c r="I754" s="1" t="s">
        <v>11</v>
      </c>
      <c r="J754">
        <v>17</v>
      </c>
      <c r="K754" s="1" t="s">
        <v>1491</v>
      </c>
      <c r="L754">
        <v>2025</v>
      </c>
    </row>
    <row r="755" spans="1:12" x14ac:dyDescent="0.3">
      <c r="A755" s="1" t="s">
        <v>1192</v>
      </c>
      <c r="B755" s="4">
        <v>45827</v>
      </c>
      <c r="C755" s="1" t="s">
        <v>633</v>
      </c>
      <c r="D755" s="1" t="s">
        <v>132</v>
      </c>
      <c r="E755">
        <v>7</v>
      </c>
      <c r="F755">
        <v>52.45</v>
      </c>
      <c r="G755">
        <v>367.15</v>
      </c>
      <c r="H755">
        <v>110.145</v>
      </c>
      <c r="I755" s="1" t="s">
        <v>15</v>
      </c>
      <c r="J755">
        <v>19</v>
      </c>
      <c r="K755" s="1" t="s">
        <v>1497</v>
      </c>
      <c r="L755">
        <v>2025</v>
      </c>
    </row>
    <row r="756" spans="1:12" x14ac:dyDescent="0.3">
      <c r="A756" s="1" t="s">
        <v>1193</v>
      </c>
      <c r="B756" s="4">
        <v>45458</v>
      </c>
      <c r="C756" s="1" t="s">
        <v>108</v>
      </c>
      <c r="D756" s="1" t="s">
        <v>339</v>
      </c>
      <c r="E756">
        <v>10</v>
      </c>
      <c r="F756">
        <v>73.89</v>
      </c>
      <c r="G756">
        <v>738.9</v>
      </c>
      <c r="H756">
        <v>221.67</v>
      </c>
      <c r="I756" s="1" t="s">
        <v>15</v>
      </c>
      <c r="J756">
        <v>15</v>
      </c>
      <c r="K756" s="1" t="s">
        <v>1497</v>
      </c>
      <c r="L756">
        <v>2024</v>
      </c>
    </row>
    <row r="757" spans="1:12" x14ac:dyDescent="0.3">
      <c r="A757" s="1" t="s">
        <v>1194</v>
      </c>
      <c r="B757" s="4">
        <v>45847</v>
      </c>
      <c r="C757" s="1" t="s">
        <v>1195</v>
      </c>
      <c r="D757" s="1" t="s">
        <v>123</v>
      </c>
      <c r="E757">
        <v>6</v>
      </c>
      <c r="F757">
        <v>20.28</v>
      </c>
      <c r="G757">
        <v>121.68</v>
      </c>
      <c r="H757">
        <v>36.503999999999998</v>
      </c>
      <c r="I757" s="1" t="s">
        <v>15</v>
      </c>
      <c r="J757">
        <v>9</v>
      </c>
      <c r="K757" s="1" t="s">
        <v>1498</v>
      </c>
      <c r="L757">
        <v>2025</v>
      </c>
    </row>
    <row r="758" spans="1:12" x14ac:dyDescent="0.3">
      <c r="A758" s="1" t="s">
        <v>1196</v>
      </c>
      <c r="B758" s="4">
        <v>45623</v>
      </c>
      <c r="C758" s="1" t="s">
        <v>1197</v>
      </c>
      <c r="D758" s="1" t="s">
        <v>153</v>
      </c>
      <c r="E758">
        <v>8</v>
      </c>
      <c r="F758">
        <v>60.32</v>
      </c>
      <c r="G758">
        <v>482.56</v>
      </c>
      <c r="H758">
        <v>144.768</v>
      </c>
      <c r="I758" s="1" t="s">
        <v>15</v>
      </c>
      <c r="J758">
        <v>27</v>
      </c>
      <c r="K758" s="1" t="s">
        <v>1500</v>
      </c>
      <c r="L758">
        <v>2024</v>
      </c>
    </row>
    <row r="759" spans="1:12" x14ac:dyDescent="0.3">
      <c r="A759" s="1" t="s">
        <v>1198</v>
      </c>
      <c r="B759" s="4">
        <v>45324</v>
      </c>
      <c r="C759" s="1" t="s">
        <v>209</v>
      </c>
      <c r="D759" s="1" t="s">
        <v>14</v>
      </c>
      <c r="E759">
        <v>2</v>
      </c>
      <c r="F759">
        <v>86.37</v>
      </c>
      <c r="G759">
        <v>172.74</v>
      </c>
      <c r="H759">
        <v>51.822000000000003</v>
      </c>
      <c r="I759" s="1" t="s">
        <v>19</v>
      </c>
      <c r="J759">
        <v>2</v>
      </c>
      <c r="K759" s="1" t="s">
        <v>1494</v>
      </c>
      <c r="L759">
        <v>2024</v>
      </c>
    </row>
    <row r="760" spans="1:12" x14ac:dyDescent="0.3">
      <c r="A760" s="1" t="s">
        <v>1199</v>
      </c>
      <c r="B760" s="4">
        <v>45628</v>
      </c>
      <c r="C760" s="1" t="s">
        <v>283</v>
      </c>
      <c r="D760" s="1" t="s">
        <v>165</v>
      </c>
      <c r="E760">
        <v>10</v>
      </c>
      <c r="F760">
        <v>29.47</v>
      </c>
      <c r="G760">
        <v>294.7</v>
      </c>
      <c r="H760">
        <v>88.41</v>
      </c>
      <c r="I760" s="1" t="s">
        <v>11</v>
      </c>
      <c r="J760">
        <v>2</v>
      </c>
      <c r="K760" s="1" t="s">
        <v>1495</v>
      </c>
      <c r="L760">
        <v>2024</v>
      </c>
    </row>
    <row r="761" spans="1:12" x14ac:dyDescent="0.3">
      <c r="A761" s="1" t="s">
        <v>1200</v>
      </c>
      <c r="B761" s="4">
        <v>45625</v>
      </c>
      <c r="C761" s="1" t="s">
        <v>211</v>
      </c>
      <c r="D761" s="1" t="s">
        <v>83</v>
      </c>
      <c r="E761">
        <v>10</v>
      </c>
      <c r="F761">
        <v>28.49</v>
      </c>
      <c r="G761">
        <v>284.89999999999998</v>
      </c>
      <c r="H761">
        <v>85.469999999999985</v>
      </c>
      <c r="I761" s="1" t="s">
        <v>11</v>
      </c>
      <c r="J761">
        <v>29</v>
      </c>
      <c r="K761" s="1" t="s">
        <v>1500</v>
      </c>
      <c r="L761">
        <v>2024</v>
      </c>
    </row>
    <row r="762" spans="1:12" x14ac:dyDescent="0.3">
      <c r="A762" s="1" t="s">
        <v>1201</v>
      </c>
      <c r="B762" s="4">
        <v>45937</v>
      </c>
      <c r="C762" s="1" t="s">
        <v>579</v>
      </c>
      <c r="D762" s="1" t="s">
        <v>99</v>
      </c>
      <c r="E762">
        <v>8</v>
      </c>
      <c r="F762">
        <v>162.96</v>
      </c>
      <c r="G762">
        <v>1303.68</v>
      </c>
      <c r="H762">
        <v>391.10399999999998</v>
      </c>
      <c r="I762" s="1" t="s">
        <v>19</v>
      </c>
      <c r="J762">
        <v>7</v>
      </c>
      <c r="K762" s="1" t="s">
        <v>1490</v>
      </c>
      <c r="L762">
        <v>2025</v>
      </c>
    </row>
    <row r="763" spans="1:12" x14ac:dyDescent="0.3">
      <c r="A763" s="1" t="s">
        <v>1202</v>
      </c>
      <c r="B763" s="4">
        <v>45791</v>
      </c>
      <c r="C763" s="1" t="s">
        <v>377</v>
      </c>
      <c r="D763" s="1" t="s">
        <v>51</v>
      </c>
      <c r="E763">
        <v>1</v>
      </c>
      <c r="F763">
        <v>64.62</v>
      </c>
      <c r="G763">
        <v>64.62</v>
      </c>
      <c r="H763">
        <v>19.385999999999999</v>
      </c>
      <c r="I763" s="1" t="s">
        <v>36</v>
      </c>
      <c r="J763">
        <v>14</v>
      </c>
      <c r="K763" s="1" t="s">
        <v>1492</v>
      </c>
      <c r="L763">
        <v>2025</v>
      </c>
    </row>
    <row r="764" spans="1:12" x14ac:dyDescent="0.3">
      <c r="A764" s="1" t="s">
        <v>1203</v>
      </c>
      <c r="B764" s="4">
        <v>45543</v>
      </c>
      <c r="C764" s="1" t="s">
        <v>92</v>
      </c>
      <c r="D764" s="1" t="s">
        <v>221</v>
      </c>
      <c r="E764">
        <v>8</v>
      </c>
      <c r="F764">
        <v>108.19</v>
      </c>
      <c r="G764">
        <v>865.52</v>
      </c>
      <c r="H764">
        <v>259.65600000000001</v>
      </c>
      <c r="I764" s="1" t="s">
        <v>36</v>
      </c>
      <c r="J764">
        <v>8</v>
      </c>
      <c r="K764" s="1" t="s">
        <v>1501</v>
      </c>
      <c r="L764">
        <v>2024</v>
      </c>
    </row>
    <row r="765" spans="1:12" x14ac:dyDescent="0.3">
      <c r="A765" s="1" t="s">
        <v>1204</v>
      </c>
      <c r="B765" s="4">
        <v>45655</v>
      </c>
      <c r="C765" s="1" t="s">
        <v>297</v>
      </c>
      <c r="D765" s="1" t="s">
        <v>148</v>
      </c>
      <c r="E765">
        <v>9</v>
      </c>
      <c r="F765">
        <v>118.95</v>
      </c>
      <c r="G765">
        <v>1070.55</v>
      </c>
      <c r="H765">
        <v>321.16499999999996</v>
      </c>
      <c r="I765" s="1" t="s">
        <v>36</v>
      </c>
      <c r="J765">
        <v>29</v>
      </c>
      <c r="K765" s="1" t="s">
        <v>1495</v>
      </c>
      <c r="L765">
        <v>2024</v>
      </c>
    </row>
    <row r="766" spans="1:12" x14ac:dyDescent="0.3">
      <c r="A766" s="1" t="s">
        <v>1205</v>
      </c>
      <c r="B766" s="4">
        <v>45956</v>
      </c>
      <c r="C766" s="1" t="s">
        <v>470</v>
      </c>
      <c r="D766" s="1" t="s">
        <v>193</v>
      </c>
      <c r="E766">
        <v>7</v>
      </c>
      <c r="F766">
        <v>157.13</v>
      </c>
      <c r="G766">
        <v>1099.9100000000001</v>
      </c>
      <c r="H766">
        <v>329.97300000000001</v>
      </c>
      <c r="I766" s="1" t="s">
        <v>11</v>
      </c>
      <c r="J766">
        <v>26</v>
      </c>
      <c r="K766" s="1" t="s">
        <v>1490</v>
      </c>
      <c r="L766">
        <v>2025</v>
      </c>
    </row>
    <row r="767" spans="1:12" x14ac:dyDescent="0.3">
      <c r="A767" s="1" t="s">
        <v>1206</v>
      </c>
      <c r="B767" s="4">
        <v>45482</v>
      </c>
      <c r="C767" s="1" t="s">
        <v>842</v>
      </c>
      <c r="D767" s="1" t="s">
        <v>339</v>
      </c>
      <c r="E767">
        <v>7</v>
      </c>
      <c r="F767">
        <v>73.89</v>
      </c>
      <c r="G767">
        <v>517.23</v>
      </c>
      <c r="H767">
        <v>155.16900000000001</v>
      </c>
      <c r="I767" s="1" t="s">
        <v>19</v>
      </c>
      <c r="J767">
        <v>9</v>
      </c>
      <c r="K767" s="1" t="s">
        <v>1498</v>
      </c>
      <c r="L767">
        <v>2024</v>
      </c>
    </row>
    <row r="768" spans="1:12" x14ac:dyDescent="0.3">
      <c r="A768" s="1" t="s">
        <v>1207</v>
      </c>
      <c r="B768" s="4">
        <v>45722</v>
      </c>
      <c r="C768" s="1" t="s">
        <v>1208</v>
      </c>
      <c r="D768" s="1" t="s">
        <v>48</v>
      </c>
      <c r="E768">
        <v>8</v>
      </c>
      <c r="F768">
        <v>17.64</v>
      </c>
      <c r="G768">
        <v>141.12</v>
      </c>
      <c r="H768">
        <v>42.335999999999999</v>
      </c>
      <c r="I768" s="1" t="s">
        <v>15</v>
      </c>
      <c r="J768">
        <v>6</v>
      </c>
      <c r="K768" s="1" t="s">
        <v>1491</v>
      </c>
      <c r="L768">
        <v>2025</v>
      </c>
    </row>
    <row r="769" spans="1:12" x14ac:dyDescent="0.3">
      <c r="A769" s="1" t="s">
        <v>1209</v>
      </c>
      <c r="B769" s="4">
        <v>45847</v>
      </c>
      <c r="C769" s="1" t="s">
        <v>178</v>
      </c>
      <c r="D769" s="1" t="s">
        <v>142</v>
      </c>
      <c r="E769">
        <v>2</v>
      </c>
      <c r="F769">
        <v>52.52</v>
      </c>
      <c r="G769">
        <v>105.04</v>
      </c>
      <c r="H769">
        <v>31.512</v>
      </c>
      <c r="I769" s="1" t="s">
        <v>11</v>
      </c>
      <c r="J769">
        <v>9</v>
      </c>
      <c r="K769" s="1" t="s">
        <v>1498</v>
      </c>
      <c r="L769">
        <v>2025</v>
      </c>
    </row>
    <row r="770" spans="1:12" x14ac:dyDescent="0.3">
      <c r="A770" s="1" t="s">
        <v>1210</v>
      </c>
      <c r="B770" s="4">
        <v>45536</v>
      </c>
      <c r="C770" s="1" t="s">
        <v>1211</v>
      </c>
      <c r="D770" s="1" t="s">
        <v>72</v>
      </c>
      <c r="E770">
        <v>8</v>
      </c>
      <c r="F770">
        <v>134.61000000000001</v>
      </c>
      <c r="G770">
        <v>1076.8800000000001</v>
      </c>
      <c r="H770">
        <v>323.06400000000002</v>
      </c>
      <c r="I770" s="1" t="s">
        <v>36</v>
      </c>
      <c r="J770">
        <v>1</v>
      </c>
      <c r="K770" s="1" t="s">
        <v>1501</v>
      </c>
      <c r="L770">
        <v>2024</v>
      </c>
    </row>
    <row r="771" spans="1:12" x14ac:dyDescent="0.3">
      <c r="A771" s="1" t="s">
        <v>1212</v>
      </c>
      <c r="B771" s="4">
        <v>45296</v>
      </c>
      <c r="C771" s="1" t="s">
        <v>1213</v>
      </c>
      <c r="D771" s="1" t="s">
        <v>165</v>
      </c>
      <c r="E771">
        <v>2</v>
      </c>
      <c r="F771">
        <v>29.47</v>
      </c>
      <c r="G771">
        <v>58.94</v>
      </c>
      <c r="H771">
        <v>17.681999999999999</v>
      </c>
      <c r="I771" s="1" t="s">
        <v>11</v>
      </c>
      <c r="J771">
        <v>5</v>
      </c>
      <c r="K771" s="1" t="s">
        <v>1493</v>
      </c>
      <c r="L771">
        <v>2024</v>
      </c>
    </row>
    <row r="772" spans="1:12" x14ac:dyDescent="0.3">
      <c r="A772" s="1" t="s">
        <v>1214</v>
      </c>
      <c r="B772" s="4">
        <v>45706</v>
      </c>
      <c r="C772" s="1" t="s">
        <v>711</v>
      </c>
      <c r="D772" s="1" t="s">
        <v>153</v>
      </c>
      <c r="E772">
        <v>4</v>
      </c>
      <c r="F772">
        <v>60.32</v>
      </c>
      <c r="G772">
        <v>241.28</v>
      </c>
      <c r="H772">
        <v>72.384</v>
      </c>
      <c r="I772" s="1" t="s">
        <v>15</v>
      </c>
      <c r="J772">
        <v>18</v>
      </c>
      <c r="K772" s="1" t="s">
        <v>1494</v>
      </c>
      <c r="L772">
        <v>2025</v>
      </c>
    </row>
    <row r="773" spans="1:12" x14ac:dyDescent="0.3">
      <c r="A773" s="1" t="s">
        <v>1215</v>
      </c>
      <c r="B773" s="4">
        <v>45648</v>
      </c>
      <c r="C773" s="1" t="s">
        <v>508</v>
      </c>
      <c r="D773" s="1" t="s">
        <v>156</v>
      </c>
      <c r="E773">
        <v>5</v>
      </c>
      <c r="F773">
        <v>182.55</v>
      </c>
      <c r="G773">
        <v>912.75</v>
      </c>
      <c r="H773">
        <v>273.82499999999999</v>
      </c>
      <c r="I773" s="1" t="s">
        <v>19</v>
      </c>
      <c r="J773">
        <v>22</v>
      </c>
      <c r="K773" s="1" t="s">
        <v>1495</v>
      </c>
      <c r="L773">
        <v>2024</v>
      </c>
    </row>
    <row r="774" spans="1:12" x14ac:dyDescent="0.3">
      <c r="A774" s="1" t="s">
        <v>1216</v>
      </c>
      <c r="B774" s="4">
        <v>45856</v>
      </c>
      <c r="C774" s="1" t="s">
        <v>560</v>
      </c>
      <c r="D774" s="1" t="s">
        <v>277</v>
      </c>
      <c r="E774">
        <v>4</v>
      </c>
      <c r="F774">
        <v>56.18</v>
      </c>
      <c r="G774">
        <v>224.72</v>
      </c>
      <c r="H774">
        <v>67.415999999999997</v>
      </c>
      <c r="I774" s="1" t="s">
        <v>15</v>
      </c>
      <c r="J774">
        <v>18</v>
      </c>
      <c r="K774" s="1" t="s">
        <v>1498</v>
      </c>
      <c r="L774">
        <v>2025</v>
      </c>
    </row>
    <row r="775" spans="1:12" x14ac:dyDescent="0.3">
      <c r="A775" s="1" t="s">
        <v>1217</v>
      </c>
      <c r="B775" s="4">
        <v>45974</v>
      </c>
      <c r="C775" s="1" t="s">
        <v>285</v>
      </c>
      <c r="D775" s="1" t="s">
        <v>142</v>
      </c>
      <c r="E775">
        <v>3</v>
      </c>
      <c r="F775">
        <v>52.52</v>
      </c>
      <c r="G775">
        <v>157.56</v>
      </c>
      <c r="H775">
        <v>47.268000000000001</v>
      </c>
      <c r="I775" s="1" t="s">
        <v>15</v>
      </c>
      <c r="J775">
        <v>13</v>
      </c>
      <c r="K775" s="1" t="s">
        <v>1500</v>
      </c>
      <c r="L775">
        <v>2025</v>
      </c>
    </row>
    <row r="776" spans="1:12" x14ac:dyDescent="0.3">
      <c r="A776" s="1" t="s">
        <v>1218</v>
      </c>
      <c r="B776" s="4">
        <v>45702</v>
      </c>
      <c r="C776" s="1" t="s">
        <v>216</v>
      </c>
      <c r="D776" s="1" t="s">
        <v>14</v>
      </c>
      <c r="E776">
        <v>2</v>
      </c>
      <c r="F776">
        <v>86.37</v>
      </c>
      <c r="G776">
        <v>172.74</v>
      </c>
      <c r="H776">
        <v>51.822000000000003</v>
      </c>
      <c r="I776" s="1" t="s">
        <v>15</v>
      </c>
      <c r="J776">
        <v>14</v>
      </c>
      <c r="K776" s="1" t="s">
        <v>1494</v>
      </c>
      <c r="L776">
        <v>2025</v>
      </c>
    </row>
    <row r="777" spans="1:12" x14ac:dyDescent="0.3">
      <c r="A777" s="1" t="s">
        <v>1219</v>
      </c>
      <c r="B777" s="4">
        <v>45967</v>
      </c>
      <c r="C777" s="1" t="s">
        <v>856</v>
      </c>
      <c r="D777" s="1" t="s">
        <v>14</v>
      </c>
      <c r="E777">
        <v>10</v>
      </c>
      <c r="F777">
        <v>86.37</v>
      </c>
      <c r="G777">
        <v>863.7</v>
      </c>
      <c r="H777">
        <v>259.11</v>
      </c>
      <c r="I777" s="1" t="s">
        <v>15</v>
      </c>
      <c r="J777">
        <v>6</v>
      </c>
      <c r="K777" s="1" t="s">
        <v>1500</v>
      </c>
      <c r="L777">
        <v>2025</v>
      </c>
    </row>
    <row r="778" spans="1:12" x14ac:dyDescent="0.3">
      <c r="A778" s="1" t="s">
        <v>1220</v>
      </c>
      <c r="B778" s="4">
        <v>45417</v>
      </c>
      <c r="C778" s="1" t="s">
        <v>562</v>
      </c>
      <c r="D778" s="1" t="s">
        <v>132</v>
      </c>
      <c r="E778">
        <v>2</v>
      </c>
      <c r="F778">
        <v>52.45</v>
      </c>
      <c r="G778">
        <v>104.9</v>
      </c>
      <c r="H778">
        <v>31.47</v>
      </c>
      <c r="I778" s="1" t="s">
        <v>15</v>
      </c>
      <c r="J778">
        <v>5</v>
      </c>
      <c r="K778" s="1" t="s">
        <v>1492</v>
      </c>
      <c r="L778">
        <v>2024</v>
      </c>
    </row>
    <row r="779" spans="1:12" x14ac:dyDescent="0.3">
      <c r="A779" s="1" t="s">
        <v>1221</v>
      </c>
      <c r="B779" s="4">
        <v>45667</v>
      </c>
      <c r="C779" s="1" t="s">
        <v>104</v>
      </c>
      <c r="D779" s="1" t="s">
        <v>24</v>
      </c>
      <c r="E779">
        <v>4</v>
      </c>
      <c r="F779">
        <v>134.32</v>
      </c>
      <c r="G779">
        <v>537.28</v>
      </c>
      <c r="H779">
        <v>161.184</v>
      </c>
      <c r="I779" s="1" t="s">
        <v>36</v>
      </c>
      <c r="J779">
        <v>10</v>
      </c>
      <c r="K779" s="1" t="s">
        <v>1493</v>
      </c>
      <c r="L779">
        <v>2025</v>
      </c>
    </row>
    <row r="780" spans="1:12" x14ac:dyDescent="0.3">
      <c r="A780" s="1" t="s">
        <v>1222</v>
      </c>
      <c r="B780" s="4">
        <v>45411</v>
      </c>
      <c r="C780" s="1" t="s">
        <v>53</v>
      </c>
      <c r="D780" s="1" t="s">
        <v>33</v>
      </c>
      <c r="E780">
        <v>5</v>
      </c>
      <c r="F780">
        <v>78.92</v>
      </c>
      <c r="G780">
        <v>394.6</v>
      </c>
      <c r="H780">
        <v>118.38</v>
      </c>
      <c r="I780" s="1" t="s">
        <v>11</v>
      </c>
      <c r="J780">
        <v>29</v>
      </c>
      <c r="K780" s="1" t="s">
        <v>1496</v>
      </c>
      <c r="L780">
        <v>2024</v>
      </c>
    </row>
    <row r="781" spans="1:12" x14ac:dyDescent="0.3">
      <c r="A781" s="1" t="s">
        <v>1223</v>
      </c>
      <c r="B781" s="4">
        <v>45490</v>
      </c>
      <c r="C781" s="1" t="s">
        <v>1208</v>
      </c>
      <c r="D781" s="1" t="s">
        <v>10</v>
      </c>
      <c r="E781">
        <v>8</v>
      </c>
      <c r="F781">
        <v>112.61</v>
      </c>
      <c r="G781">
        <v>900.88</v>
      </c>
      <c r="H781">
        <v>270.26400000000001</v>
      </c>
      <c r="I781" s="1" t="s">
        <v>15</v>
      </c>
      <c r="J781">
        <v>17</v>
      </c>
      <c r="K781" s="1" t="s">
        <v>1498</v>
      </c>
      <c r="L781">
        <v>2024</v>
      </c>
    </row>
    <row r="782" spans="1:12" x14ac:dyDescent="0.3">
      <c r="A782" s="1" t="s">
        <v>1224</v>
      </c>
      <c r="B782" s="4">
        <v>45462</v>
      </c>
      <c r="C782" s="1" t="s">
        <v>1225</v>
      </c>
      <c r="D782" s="1" t="s">
        <v>45</v>
      </c>
      <c r="E782">
        <v>9</v>
      </c>
      <c r="F782">
        <v>24.62</v>
      </c>
      <c r="G782">
        <v>221.58</v>
      </c>
      <c r="H782">
        <v>66.474000000000004</v>
      </c>
      <c r="I782" s="1" t="s">
        <v>15</v>
      </c>
      <c r="J782">
        <v>19</v>
      </c>
      <c r="K782" s="1" t="s">
        <v>1497</v>
      </c>
      <c r="L782">
        <v>2024</v>
      </c>
    </row>
    <row r="783" spans="1:12" x14ac:dyDescent="0.3">
      <c r="A783" s="1" t="s">
        <v>1226</v>
      </c>
      <c r="B783" s="4">
        <v>45900</v>
      </c>
      <c r="C783" s="1" t="s">
        <v>1227</v>
      </c>
      <c r="D783" s="1" t="s">
        <v>10</v>
      </c>
      <c r="E783">
        <v>4</v>
      </c>
      <c r="F783">
        <v>112.61</v>
      </c>
      <c r="G783">
        <v>450.44</v>
      </c>
      <c r="H783">
        <v>135.13200000000001</v>
      </c>
      <c r="I783" s="1" t="s">
        <v>36</v>
      </c>
      <c r="J783">
        <v>31</v>
      </c>
      <c r="K783" s="1" t="s">
        <v>1499</v>
      </c>
      <c r="L783">
        <v>2025</v>
      </c>
    </row>
    <row r="784" spans="1:12" x14ac:dyDescent="0.3">
      <c r="A784" s="1" t="s">
        <v>1228</v>
      </c>
      <c r="B784" s="4">
        <v>45784</v>
      </c>
      <c r="C784" s="1" t="s">
        <v>442</v>
      </c>
      <c r="D784" s="1" t="s">
        <v>327</v>
      </c>
      <c r="E784">
        <v>2</v>
      </c>
      <c r="F784">
        <v>89.24</v>
      </c>
      <c r="G784">
        <v>178.48</v>
      </c>
      <c r="H784">
        <v>53.543999999999997</v>
      </c>
      <c r="I784" s="1" t="s">
        <v>19</v>
      </c>
      <c r="J784">
        <v>7</v>
      </c>
      <c r="K784" s="1" t="s">
        <v>1492</v>
      </c>
      <c r="L784">
        <v>2025</v>
      </c>
    </row>
    <row r="785" spans="1:12" x14ac:dyDescent="0.3">
      <c r="A785" s="1" t="s">
        <v>1229</v>
      </c>
      <c r="B785" s="4">
        <v>45599</v>
      </c>
      <c r="C785" s="1" t="s">
        <v>1230</v>
      </c>
      <c r="D785" s="1" t="s">
        <v>57</v>
      </c>
      <c r="E785">
        <v>6</v>
      </c>
      <c r="F785">
        <v>38.93</v>
      </c>
      <c r="G785">
        <v>233.58</v>
      </c>
      <c r="H785">
        <v>70.073999999999998</v>
      </c>
      <c r="I785" s="1" t="s">
        <v>19</v>
      </c>
      <c r="J785">
        <v>3</v>
      </c>
      <c r="K785" s="1" t="s">
        <v>1500</v>
      </c>
      <c r="L785">
        <v>2024</v>
      </c>
    </row>
    <row r="786" spans="1:12" x14ac:dyDescent="0.3">
      <c r="A786" s="1" t="s">
        <v>1231</v>
      </c>
      <c r="B786" s="4">
        <v>45389</v>
      </c>
      <c r="C786" s="1" t="s">
        <v>727</v>
      </c>
      <c r="D786" s="1" t="s">
        <v>165</v>
      </c>
      <c r="E786">
        <v>1</v>
      </c>
      <c r="F786">
        <v>29.47</v>
      </c>
      <c r="G786">
        <v>29.47</v>
      </c>
      <c r="H786">
        <v>8.8409999999999993</v>
      </c>
      <c r="I786" s="1" t="s">
        <v>19</v>
      </c>
      <c r="J786">
        <v>7</v>
      </c>
      <c r="K786" s="1" t="s">
        <v>1496</v>
      </c>
      <c r="L786">
        <v>2024</v>
      </c>
    </row>
    <row r="787" spans="1:12" x14ac:dyDescent="0.3">
      <c r="A787" s="1" t="s">
        <v>1232</v>
      </c>
      <c r="B787" s="4">
        <v>45303</v>
      </c>
      <c r="C787" s="1" t="s">
        <v>254</v>
      </c>
      <c r="D787" s="1" t="s">
        <v>332</v>
      </c>
      <c r="E787">
        <v>5</v>
      </c>
      <c r="F787">
        <v>115.1</v>
      </c>
      <c r="G787">
        <v>575.5</v>
      </c>
      <c r="H787">
        <v>172.65</v>
      </c>
      <c r="I787" s="1" t="s">
        <v>19</v>
      </c>
      <c r="J787">
        <v>12</v>
      </c>
      <c r="K787" s="1" t="s">
        <v>1493</v>
      </c>
      <c r="L787">
        <v>2024</v>
      </c>
    </row>
    <row r="788" spans="1:12" x14ac:dyDescent="0.3">
      <c r="A788" s="1" t="s">
        <v>1233</v>
      </c>
      <c r="B788" s="4">
        <v>45584</v>
      </c>
      <c r="C788" s="1" t="s">
        <v>662</v>
      </c>
      <c r="D788" s="1" t="s">
        <v>83</v>
      </c>
      <c r="E788">
        <v>10</v>
      </c>
      <c r="F788">
        <v>28.49</v>
      </c>
      <c r="G788">
        <v>284.89999999999998</v>
      </c>
      <c r="H788">
        <v>85.469999999999985</v>
      </c>
      <c r="I788" s="1" t="s">
        <v>19</v>
      </c>
      <c r="J788">
        <v>19</v>
      </c>
      <c r="K788" s="1" t="s">
        <v>1490</v>
      </c>
      <c r="L788">
        <v>2024</v>
      </c>
    </row>
    <row r="789" spans="1:12" x14ac:dyDescent="0.3">
      <c r="A789" s="1" t="s">
        <v>1234</v>
      </c>
      <c r="B789" s="4">
        <v>45977</v>
      </c>
      <c r="C789" s="1" t="s">
        <v>326</v>
      </c>
      <c r="D789" s="1" t="s">
        <v>80</v>
      </c>
      <c r="E789">
        <v>9</v>
      </c>
      <c r="F789">
        <v>48.76</v>
      </c>
      <c r="G789">
        <v>438.84</v>
      </c>
      <c r="H789">
        <v>131.65199999999999</v>
      </c>
      <c r="I789" s="1" t="s">
        <v>11</v>
      </c>
      <c r="J789">
        <v>16</v>
      </c>
      <c r="K789" s="1" t="s">
        <v>1500</v>
      </c>
      <c r="L789">
        <v>2025</v>
      </c>
    </row>
    <row r="790" spans="1:12" x14ac:dyDescent="0.3">
      <c r="A790" s="1" t="s">
        <v>1235</v>
      </c>
      <c r="B790" s="4">
        <v>45590</v>
      </c>
      <c r="C790" s="1" t="s">
        <v>279</v>
      </c>
      <c r="D790" s="1" t="s">
        <v>54</v>
      </c>
      <c r="E790">
        <v>7</v>
      </c>
      <c r="F790">
        <v>28.55</v>
      </c>
      <c r="G790">
        <v>199.85</v>
      </c>
      <c r="H790">
        <v>59.954999999999998</v>
      </c>
      <c r="I790" s="1" t="s">
        <v>36</v>
      </c>
      <c r="J790">
        <v>25</v>
      </c>
      <c r="K790" s="1" t="s">
        <v>1490</v>
      </c>
      <c r="L790">
        <v>2024</v>
      </c>
    </row>
    <row r="791" spans="1:12" x14ac:dyDescent="0.3">
      <c r="A791" s="1" t="s">
        <v>1236</v>
      </c>
      <c r="B791" s="4">
        <v>45473</v>
      </c>
      <c r="C791" s="1" t="s">
        <v>1237</v>
      </c>
      <c r="D791" s="1" t="s">
        <v>148</v>
      </c>
      <c r="E791">
        <v>5</v>
      </c>
      <c r="F791">
        <v>118.95</v>
      </c>
      <c r="G791">
        <v>594.75</v>
      </c>
      <c r="H791">
        <v>178.42499999999998</v>
      </c>
      <c r="I791" s="1" t="s">
        <v>15</v>
      </c>
      <c r="J791">
        <v>30</v>
      </c>
      <c r="K791" s="1" t="s">
        <v>1497</v>
      </c>
      <c r="L791">
        <v>2024</v>
      </c>
    </row>
    <row r="792" spans="1:12" x14ac:dyDescent="0.3">
      <c r="A792" s="1" t="s">
        <v>1238</v>
      </c>
      <c r="B792" s="4">
        <v>45794</v>
      </c>
      <c r="C792" s="1" t="s">
        <v>473</v>
      </c>
      <c r="D792" s="1" t="s">
        <v>75</v>
      </c>
      <c r="E792">
        <v>6</v>
      </c>
      <c r="F792">
        <v>49.95</v>
      </c>
      <c r="G792">
        <v>299.7</v>
      </c>
      <c r="H792">
        <v>89.91</v>
      </c>
      <c r="I792" s="1" t="s">
        <v>15</v>
      </c>
      <c r="J792">
        <v>17</v>
      </c>
      <c r="K792" s="1" t="s">
        <v>1492</v>
      </c>
      <c r="L792">
        <v>2025</v>
      </c>
    </row>
    <row r="793" spans="1:12" x14ac:dyDescent="0.3">
      <c r="A793" s="1" t="s">
        <v>1239</v>
      </c>
      <c r="B793" s="4">
        <v>45501</v>
      </c>
      <c r="C793" s="1" t="s">
        <v>225</v>
      </c>
      <c r="D793" s="1" t="s">
        <v>151</v>
      </c>
      <c r="E793">
        <v>2</v>
      </c>
      <c r="F793">
        <v>89.88</v>
      </c>
      <c r="G793">
        <v>179.76</v>
      </c>
      <c r="H793">
        <v>53.927999999999997</v>
      </c>
      <c r="I793" s="1" t="s">
        <v>15</v>
      </c>
      <c r="J793">
        <v>28</v>
      </c>
      <c r="K793" s="1" t="s">
        <v>1498</v>
      </c>
      <c r="L793">
        <v>2024</v>
      </c>
    </row>
    <row r="794" spans="1:12" x14ac:dyDescent="0.3">
      <c r="A794" s="1" t="s">
        <v>1240</v>
      </c>
      <c r="B794" s="4">
        <v>45539</v>
      </c>
      <c r="C794" s="1" t="s">
        <v>1106</v>
      </c>
      <c r="D794" s="1" t="s">
        <v>156</v>
      </c>
      <c r="E794">
        <v>3</v>
      </c>
      <c r="F794">
        <v>182.55</v>
      </c>
      <c r="G794">
        <v>547.65</v>
      </c>
      <c r="H794">
        <v>164.29499999999999</v>
      </c>
      <c r="I794" s="1" t="s">
        <v>15</v>
      </c>
      <c r="J794">
        <v>4</v>
      </c>
      <c r="K794" s="1" t="s">
        <v>1501</v>
      </c>
      <c r="L794">
        <v>2024</v>
      </c>
    </row>
    <row r="795" spans="1:12" x14ac:dyDescent="0.3">
      <c r="A795" s="1" t="s">
        <v>1241</v>
      </c>
      <c r="B795" s="4">
        <v>45895</v>
      </c>
      <c r="C795" s="1" t="s">
        <v>178</v>
      </c>
      <c r="D795" s="1" t="s">
        <v>132</v>
      </c>
      <c r="E795">
        <v>2</v>
      </c>
      <c r="F795">
        <v>52.45</v>
      </c>
      <c r="G795">
        <v>104.9</v>
      </c>
      <c r="H795">
        <v>31.47</v>
      </c>
      <c r="I795" s="1" t="s">
        <v>11</v>
      </c>
      <c r="J795">
        <v>26</v>
      </c>
      <c r="K795" s="1" t="s">
        <v>1499</v>
      </c>
      <c r="L795">
        <v>2025</v>
      </c>
    </row>
    <row r="796" spans="1:12" x14ac:dyDescent="0.3">
      <c r="A796" s="1" t="s">
        <v>1242</v>
      </c>
      <c r="B796" s="4">
        <v>45578</v>
      </c>
      <c r="C796" s="1" t="s">
        <v>877</v>
      </c>
      <c r="D796" s="1" t="s">
        <v>57</v>
      </c>
      <c r="E796">
        <v>5</v>
      </c>
      <c r="F796">
        <v>38.93</v>
      </c>
      <c r="G796">
        <v>194.65</v>
      </c>
      <c r="H796">
        <v>58.394999999999996</v>
      </c>
      <c r="I796" s="1" t="s">
        <v>19</v>
      </c>
      <c r="J796">
        <v>13</v>
      </c>
      <c r="K796" s="1" t="s">
        <v>1490</v>
      </c>
      <c r="L796">
        <v>2024</v>
      </c>
    </row>
    <row r="797" spans="1:12" x14ac:dyDescent="0.3">
      <c r="A797" s="1" t="s">
        <v>1243</v>
      </c>
      <c r="B797" s="4">
        <v>45445</v>
      </c>
      <c r="C797" s="1" t="s">
        <v>808</v>
      </c>
      <c r="D797" s="1" t="s">
        <v>256</v>
      </c>
      <c r="E797">
        <v>9</v>
      </c>
      <c r="F797">
        <v>58.12</v>
      </c>
      <c r="G797">
        <v>523.08000000000004</v>
      </c>
      <c r="H797">
        <v>156.92400000000001</v>
      </c>
      <c r="I797" s="1" t="s">
        <v>15</v>
      </c>
      <c r="J797">
        <v>2</v>
      </c>
      <c r="K797" s="1" t="s">
        <v>1497</v>
      </c>
      <c r="L797">
        <v>2024</v>
      </c>
    </row>
    <row r="798" spans="1:12" x14ac:dyDescent="0.3">
      <c r="A798" s="1" t="s">
        <v>1244</v>
      </c>
      <c r="B798" s="4">
        <v>45887</v>
      </c>
      <c r="C798" s="1" t="s">
        <v>56</v>
      </c>
      <c r="D798" s="1" t="s">
        <v>111</v>
      </c>
      <c r="E798">
        <v>7</v>
      </c>
      <c r="F798">
        <v>91.3</v>
      </c>
      <c r="G798">
        <v>639.1</v>
      </c>
      <c r="H798">
        <v>191.73</v>
      </c>
      <c r="I798" s="1" t="s">
        <v>36</v>
      </c>
      <c r="J798">
        <v>18</v>
      </c>
      <c r="K798" s="1" t="s">
        <v>1499</v>
      </c>
      <c r="L798">
        <v>2025</v>
      </c>
    </row>
    <row r="799" spans="1:12" x14ac:dyDescent="0.3">
      <c r="A799" s="1" t="s">
        <v>1245</v>
      </c>
      <c r="B799" s="4">
        <v>45801</v>
      </c>
      <c r="C799" s="1" t="s">
        <v>652</v>
      </c>
      <c r="D799" s="1" t="s">
        <v>327</v>
      </c>
      <c r="E799">
        <v>1</v>
      </c>
      <c r="F799">
        <v>89.24</v>
      </c>
      <c r="G799">
        <v>89.24</v>
      </c>
      <c r="H799">
        <v>26.771999999999998</v>
      </c>
      <c r="I799" s="1" t="s">
        <v>19</v>
      </c>
      <c r="J799">
        <v>24</v>
      </c>
      <c r="K799" s="1" t="s">
        <v>1492</v>
      </c>
      <c r="L799">
        <v>2025</v>
      </c>
    </row>
    <row r="800" spans="1:12" x14ac:dyDescent="0.3">
      <c r="A800" s="1" t="s">
        <v>1246</v>
      </c>
      <c r="B800" s="4">
        <v>45763</v>
      </c>
      <c r="C800" s="1" t="s">
        <v>744</v>
      </c>
      <c r="D800" s="1" t="s">
        <v>24</v>
      </c>
      <c r="E800">
        <v>8</v>
      </c>
      <c r="F800">
        <v>134.32</v>
      </c>
      <c r="G800">
        <v>1074.56</v>
      </c>
      <c r="H800">
        <v>322.36799999999999</v>
      </c>
      <c r="I800" s="1" t="s">
        <v>36</v>
      </c>
      <c r="J800">
        <v>16</v>
      </c>
      <c r="K800" s="1" t="s">
        <v>1496</v>
      </c>
      <c r="L800">
        <v>2025</v>
      </c>
    </row>
    <row r="801" spans="1:12" x14ac:dyDescent="0.3">
      <c r="A801" s="1" t="s">
        <v>1247</v>
      </c>
      <c r="B801" s="4">
        <v>45958</v>
      </c>
      <c r="C801" s="1" t="s">
        <v>1129</v>
      </c>
      <c r="D801" s="1" t="s">
        <v>67</v>
      </c>
      <c r="E801">
        <v>3</v>
      </c>
      <c r="F801">
        <v>29.94</v>
      </c>
      <c r="G801">
        <v>89.82</v>
      </c>
      <c r="H801">
        <v>26.945999999999998</v>
      </c>
      <c r="I801" s="1" t="s">
        <v>19</v>
      </c>
      <c r="J801">
        <v>28</v>
      </c>
      <c r="K801" s="1" t="s">
        <v>1490</v>
      </c>
      <c r="L801">
        <v>2025</v>
      </c>
    </row>
    <row r="802" spans="1:12" x14ac:dyDescent="0.3">
      <c r="A802" s="1" t="s">
        <v>1248</v>
      </c>
      <c r="B802" s="4">
        <v>45493</v>
      </c>
      <c r="C802" s="1" t="s">
        <v>719</v>
      </c>
      <c r="D802" s="1" t="s">
        <v>277</v>
      </c>
      <c r="E802">
        <v>4</v>
      </c>
      <c r="F802">
        <v>56.18</v>
      </c>
      <c r="G802">
        <v>224.72</v>
      </c>
      <c r="H802">
        <v>67.415999999999997</v>
      </c>
      <c r="I802" s="1" t="s">
        <v>36</v>
      </c>
      <c r="J802">
        <v>20</v>
      </c>
      <c r="K802" s="1" t="s">
        <v>1498</v>
      </c>
      <c r="L802">
        <v>2024</v>
      </c>
    </row>
    <row r="803" spans="1:12" x14ac:dyDescent="0.3">
      <c r="A803" s="1" t="s">
        <v>1249</v>
      </c>
      <c r="B803" s="4">
        <v>45448</v>
      </c>
      <c r="C803" s="1" t="s">
        <v>307</v>
      </c>
      <c r="D803" s="1" t="s">
        <v>14</v>
      </c>
      <c r="E803">
        <v>6</v>
      </c>
      <c r="F803">
        <v>86.37</v>
      </c>
      <c r="G803">
        <v>518.22</v>
      </c>
      <c r="H803">
        <v>155.46600000000001</v>
      </c>
      <c r="I803" s="1" t="s">
        <v>19</v>
      </c>
      <c r="J803">
        <v>5</v>
      </c>
      <c r="K803" s="1" t="s">
        <v>1497</v>
      </c>
      <c r="L803">
        <v>2024</v>
      </c>
    </row>
    <row r="804" spans="1:12" x14ac:dyDescent="0.3">
      <c r="A804" s="1" t="s">
        <v>1250</v>
      </c>
      <c r="B804" s="4">
        <v>45933</v>
      </c>
      <c r="C804" s="1" t="s">
        <v>1251</v>
      </c>
      <c r="D804" s="1" t="s">
        <v>228</v>
      </c>
      <c r="E804">
        <v>6</v>
      </c>
      <c r="F804">
        <v>104.84</v>
      </c>
      <c r="G804">
        <v>629.04</v>
      </c>
      <c r="H804">
        <v>188.71199999999999</v>
      </c>
      <c r="I804" s="1" t="s">
        <v>36</v>
      </c>
      <c r="J804">
        <v>3</v>
      </c>
      <c r="K804" s="1" t="s">
        <v>1490</v>
      </c>
      <c r="L804">
        <v>2025</v>
      </c>
    </row>
    <row r="805" spans="1:12" x14ac:dyDescent="0.3">
      <c r="A805" s="1" t="s">
        <v>1252</v>
      </c>
      <c r="B805" s="4">
        <v>45733</v>
      </c>
      <c r="C805" s="1" t="s">
        <v>898</v>
      </c>
      <c r="D805" s="1" t="s">
        <v>14</v>
      </c>
      <c r="E805">
        <v>4</v>
      </c>
      <c r="F805">
        <v>86.37</v>
      </c>
      <c r="G805">
        <v>345.48</v>
      </c>
      <c r="H805">
        <v>103.64400000000001</v>
      </c>
      <c r="I805" s="1" t="s">
        <v>15</v>
      </c>
      <c r="J805">
        <v>17</v>
      </c>
      <c r="K805" s="1" t="s">
        <v>1491</v>
      </c>
      <c r="L805">
        <v>2025</v>
      </c>
    </row>
    <row r="806" spans="1:12" x14ac:dyDescent="0.3">
      <c r="A806" s="1" t="s">
        <v>1253</v>
      </c>
      <c r="B806" s="4">
        <v>45535</v>
      </c>
      <c r="C806" s="1" t="s">
        <v>66</v>
      </c>
      <c r="D806" s="1" t="s">
        <v>48</v>
      </c>
      <c r="E806">
        <v>4</v>
      </c>
      <c r="F806">
        <v>17.64</v>
      </c>
      <c r="G806">
        <v>70.56</v>
      </c>
      <c r="H806">
        <v>21.167999999999999</v>
      </c>
      <c r="I806" s="1" t="s">
        <v>36</v>
      </c>
      <c r="J806">
        <v>31</v>
      </c>
      <c r="K806" s="1" t="s">
        <v>1499</v>
      </c>
      <c r="L806">
        <v>2024</v>
      </c>
    </row>
    <row r="807" spans="1:12" x14ac:dyDescent="0.3">
      <c r="A807" s="1" t="s">
        <v>1254</v>
      </c>
      <c r="B807" s="4">
        <v>45936</v>
      </c>
      <c r="C807" s="1" t="s">
        <v>120</v>
      </c>
      <c r="D807" s="1" t="s">
        <v>99</v>
      </c>
      <c r="E807">
        <v>1</v>
      </c>
      <c r="F807">
        <v>162.96</v>
      </c>
      <c r="G807">
        <v>162.96</v>
      </c>
      <c r="H807">
        <v>48.887999999999998</v>
      </c>
      <c r="I807" s="1" t="s">
        <v>15</v>
      </c>
      <c r="J807">
        <v>6</v>
      </c>
      <c r="K807" s="1" t="s">
        <v>1490</v>
      </c>
      <c r="L807">
        <v>2025</v>
      </c>
    </row>
    <row r="808" spans="1:12" x14ac:dyDescent="0.3">
      <c r="A808" s="1" t="s">
        <v>1255</v>
      </c>
      <c r="B808" s="4">
        <v>45436</v>
      </c>
      <c r="C808" s="1" t="s">
        <v>1256</v>
      </c>
      <c r="D808" s="1" t="s">
        <v>176</v>
      </c>
      <c r="E808">
        <v>4</v>
      </c>
      <c r="F808">
        <v>68.41</v>
      </c>
      <c r="G808">
        <v>273.64</v>
      </c>
      <c r="H808">
        <v>82.091999999999999</v>
      </c>
      <c r="I808" s="1" t="s">
        <v>19</v>
      </c>
      <c r="J808">
        <v>24</v>
      </c>
      <c r="K808" s="1" t="s">
        <v>1492</v>
      </c>
      <c r="L808">
        <v>2024</v>
      </c>
    </row>
    <row r="809" spans="1:12" x14ac:dyDescent="0.3">
      <c r="A809" s="1" t="s">
        <v>1257</v>
      </c>
      <c r="B809" s="4">
        <v>45555</v>
      </c>
      <c r="C809" s="1" t="s">
        <v>457</v>
      </c>
      <c r="D809" s="1" t="s">
        <v>332</v>
      </c>
      <c r="E809">
        <v>10</v>
      </c>
      <c r="F809">
        <v>115.1</v>
      </c>
      <c r="G809">
        <v>1151</v>
      </c>
      <c r="H809">
        <v>345.3</v>
      </c>
      <c r="I809" s="1" t="s">
        <v>36</v>
      </c>
      <c r="J809">
        <v>20</v>
      </c>
      <c r="K809" s="1" t="s">
        <v>1501</v>
      </c>
      <c r="L809">
        <v>2024</v>
      </c>
    </row>
    <row r="810" spans="1:12" x14ac:dyDescent="0.3">
      <c r="A810" s="1" t="s">
        <v>1258</v>
      </c>
      <c r="B810" s="4">
        <v>45960</v>
      </c>
      <c r="C810" s="1" t="s">
        <v>1081</v>
      </c>
      <c r="D810" s="1" t="s">
        <v>156</v>
      </c>
      <c r="E810">
        <v>5</v>
      </c>
      <c r="F810">
        <v>182.55</v>
      </c>
      <c r="G810">
        <v>912.75</v>
      </c>
      <c r="H810">
        <v>273.82499999999999</v>
      </c>
      <c r="I810" s="1" t="s">
        <v>15</v>
      </c>
      <c r="J810">
        <v>30</v>
      </c>
      <c r="K810" s="1" t="s">
        <v>1490</v>
      </c>
      <c r="L810">
        <v>2025</v>
      </c>
    </row>
    <row r="811" spans="1:12" x14ac:dyDescent="0.3">
      <c r="A811" s="1" t="s">
        <v>1259</v>
      </c>
      <c r="B811" s="4">
        <v>45706</v>
      </c>
      <c r="C811" s="1" t="s">
        <v>730</v>
      </c>
      <c r="D811" s="1" t="s">
        <v>88</v>
      </c>
      <c r="E811">
        <v>4</v>
      </c>
      <c r="F811">
        <v>162.21</v>
      </c>
      <c r="G811">
        <v>648.84</v>
      </c>
      <c r="H811">
        <v>194.65200000000002</v>
      </c>
      <c r="I811" s="1" t="s">
        <v>19</v>
      </c>
      <c r="J811">
        <v>18</v>
      </c>
      <c r="K811" s="1" t="s">
        <v>1494</v>
      </c>
      <c r="L811">
        <v>2025</v>
      </c>
    </row>
    <row r="812" spans="1:12" x14ac:dyDescent="0.3">
      <c r="A812" s="1" t="s">
        <v>1260</v>
      </c>
      <c r="B812" s="4">
        <v>45368</v>
      </c>
      <c r="C812" s="1" t="s">
        <v>691</v>
      </c>
      <c r="D812" s="1" t="s">
        <v>27</v>
      </c>
      <c r="E812">
        <v>2</v>
      </c>
      <c r="F812">
        <v>35.03</v>
      </c>
      <c r="G812">
        <v>70.06</v>
      </c>
      <c r="H812">
        <v>21.018000000000001</v>
      </c>
      <c r="I812" s="1" t="s">
        <v>36</v>
      </c>
      <c r="J812">
        <v>17</v>
      </c>
      <c r="K812" s="1" t="s">
        <v>1491</v>
      </c>
      <c r="L812">
        <v>2024</v>
      </c>
    </row>
    <row r="813" spans="1:12" x14ac:dyDescent="0.3">
      <c r="A813" s="1" t="s">
        <v>1261</v>
      </c>
      <c r="B813" s="4">
        <v>45385</v>
      </c>
      <c r="C813" s="1" t="s">
        <v>796</v>
      </c>
      <c r="D813" s="1" t="s">
        <v>327</v>
      </c>
      <c r="E813">
        <v>2</v>
      </c>
      <c r="F813">
        <v>89.24</v>
      </c>
      <c r="G813">
        <v>178.48</v>
      </c>
      <c r="H813">
        <v>53.543999999999997</v>
      </c>
      <c r="I813" s="1" t="s">
        <v>15</v>
      </c>
      <c r="J813">
        <v>3</v>
      </c>
      <c r="K813" s="1" t="s">
        <v>1496</v>
      </c>
      <c r="L813">
        <v>2024</v>
      </c>
    </row>
    <row r="814" spans="1:12" x14ac:dyDescent="0.3">
      <c r="A814" s="1" t="s">
        <v>1262</v>
      </c>
      <c r="B814" s="4">
        <v>45292</v>
      </c>
      <c r="C814" s="1" t="s">
        <v>806</v>
      </c>
      <c r="D814" s="1" t="s">
        <v>33</v>
      </c>
      <c r="E814">
        <v>5</v>
      </c>
      <c r="F814">
        <v>78.92</v>
      </c>
      <c r="G814">
        <v>394.6</v>
      </c>
      <c r="H814">
        <v>118.38</v>
      </c>
      <c r="I814" s="1" t="s">
        <v>15</v>
      </c>
      <c r="J814">
        <v>1</v>
      </c>
      <c r="K814" s="1" t="s">
        <v>1493</v>
      </c>
      <c r="L814">
        <v>2024</v>
      </c>
    </row>
    <row r="815" spans="1:12" x14ac:dyDescent="0.3">
      <c r="A815" s="1" t="s">
        <v>1263</v>
      </c>
      <c r="B815" s="4">
        <v>46008</v>
      </c>
      <c r="C815" s="1" t="s">
        <v>1264</v>
      </c>
      <c r="D815" s="1" t="s">
        <v>99</v>
      </c>
      <c r="E815">
        <v>2</v>
      </c>
      <c r="F815">
        <v>162.96</v>
      </c>
      <c r="G815">
        <v>325.92</v>
      </c>
      <c r="H815">
        <v>97.775999999999996</v>
      </c>
      <c r="I815" s="1" t="s">
        <v>36</v>
      </c>
      <c r="J815">
        <v>17</v>
      </c>
      <c r="K815" s="1" t="s">
        <v>1495</v>
      </c>
      <c r="L815">
        <v>2025</v>
      </c>
    </row>
    <row r="816" spans="1:12" x14ac:dyDescent="0.3">
      <c r="A816" s="1" t="s">
        <v>1265</v>
      </c>
      <c r="B816" s="4">
        <v>45471</v>
      </c>
      <c r="C816" s="1" t="s">
        <v>1266</v>
      </c>
      <c r="D816" s="1" t="s">
        <v>88</v>
      </c>
      <c r="E816">
        <v>10</v>
      </c>
      <c r="F816">
        <v>162.21</v>
      </c>
      <c r="G816">
        <v>1622.1</v>
      </c>
      <c r="H816">
        <v>486.62999999999994</v>
      </c>
      <c r="I816" s="1" t="s">
        <v>15</v>
      </c>
      <c r="J816">
        <v>28</v>
      </c>
      <c r="K816" s="1" t="s">
        <v>1497</v>
      </c>
      <c r="L816">
        <v>2024</v>
      </c>
    </row>
    <row r="817" spans="1:12" x14ac:dyDescent="0.3">
      <c r="A817" s="1" t="s">
        <v>1267</v>
      </c>
      <c r="B817" s="4">
        <v>45602</v>
      </c>
      <c r="C817" s="1" t="s">
        <v>1268</v>
      </c>
      <c r="D817" s="1" t="s">
        <v>261</v>
      </c>
      <c r="E817">
        <v>9</v>
      </c>
      <c r="F817">
        <v>176.31</v>
      </c>
      <c r="G817">
        <v>1586.79</v>
      </c>
      <c r="H817">
        <v>476.03699999999998</v>
      </c>
      <c r="I817" s="1" t="s">
        <v>11</v>
      </c>
      <c r="J817">
        <v>6</v>
      </c>
      <c r="K817" s="1" t="s">
        <v>1500</v>
      </c>
      <c r="L817">
        <v>2024</v>
      </c>
    </row>
    <row r="818" spans="1:12" x14ac:dyDescent="0.3">
      <c r="A818" s="1" t="s">
        <v>1269</v>
      </c>
      <c r="B818" s="4">
        <v>45518</v>
      </c>
      <c r="C818" s="1" t="s">
        <v>230</v>
      </c>
      <c r="D818" s="1" t="s">
        <v>123</v>
      </c>
      <c r="E818">
        <v>3</v>
      </c>
      <c r="F818">
        <v>20.28</v>
      </c>
      <c r="G818">
        <v>60.84</v>
      </c>
      <c r="H818">
        <v>18.251999999999999</v>
      </c>
      <c r="I818" s="1" t="s">
        <v>36</v>
      </c>
      <c r="J818">
        <v>14</v>
      </c>
      <c r="K818" s="1" t="s">
        <v>1499</v>
      </c>
      <c r="L818">
        <v>2024</v>
      </c>
    </row>
    <row r="819" spans="1:12" x14ac:dyDescent="0.3">
      <c r="A819" s="1" t="s">
        <v>1270</v>
      </c>
      <c r="B819" s="4">
        <v>45321</v>
      </c>
      <c r="C819" s="1" t="s">
        <v>466</v>
      </c>
      <c r="D819" s="1" t="s">
        <v>102</v>
      </c>
      <c r="E819">
        <v>5</v>
      </c>
      <c r="F819">
        <v>41.45</v>
      </c>
      <c r="G819">
        <v>207.25</v>
      </c>
      <c r="H819">
        <v>62.174999999999997</v>
      </c>
      <c r="I819" s="1" t="s">
        <v>36</v>
      </c>
      <c r="J819">
        <v>30</v>
      </c>
      <c r="K819" s="1" t="s">
        <v>1493</v>
      </c>
      <c r="L819">
        <v>2024</v>
      </c>
    </row>
    <row r="820" spans="1:12" x14ac:dyDescent="0.3">
      <c r="A820" s="1" t="s">
        <v>1271</v>
      </c>
      <c r="B820" s="4">
        <v>45432</v>
      </c>
      <c r="C820" s="1" t="s">
        <v>56</v>
      </c>
      <c r="D820" s="1" t="s">
        <v>18</v>
      </c>
      <c r="E820">
        <v>10</v>
      </c>
      <c r="F820">
        <v>185.22</v>
      </c>
      <c r="G820">
        <v>1852.2</v>
      </c>
      <c r="H820">
        <v>555.66</v>
      </c>
      <c r="I820" s="1" t="s">
        <v>19</v>
      </c>
      <c r="J820">
        <v>20</v>
      </c>
      <c r="K820" s="1" t="s">
        <v>1492</v>
      </c>
      <c r="L820">
        <v>2024</v>
      </c>
    </row>
    <row r="821" spans="1:12" x14ac:dyDescent="0.3">
      <c r="A821" s="1" t="s">
        <v>1272</v>
      </c>
      <c r="B821" s="4">
        <v>45961</v>
      </c>
      <c r="C821" s="1" t="s">
        <v>457</v>
      </c>
      <c r="D821" s="1" t="s">
        <v>60</v>
      </c>
      <c r="E821">
        <v>10</v>
      </c>
      <c r="F821">
        <v>107.88</v>
      </c>
      <c r="G821">
        <v>1078.8</v>
      </c>
      <c r="H821">
        <v>323.64</v>
      </c>
      <c r="I821" s="1" t="s">
        <v>15</v>
      </c>
      <c r="J821">
        <v>31</v>
      </c>
      <c r="K821" s="1" t="s">
        <v>1490</v>
      </c>
      <c r="L821">
        <v>2025</v>
      </c>
    </row>
    <row r="822" spans="1:12" x14ac:dyDescent="0.3">
      <c r="A822" s="1" t="s">
        <v>1273</v>
      </c>
      <c r="B822" s="4">
        <v>45520</v>
      </c>
      <c r="C822" s="1" t="s">
        <v>1083</v>
      </c>
      <c r="D822" s="1" t="s">
        <v>48</v>
      </c>
      <c r="E822">
        <v>4</v>
      </c>
      <c r="F822">
        <v>17.64</v>
      </c>
      <c r="G822">
        <v>70.56</v>
      </c>
      <c r="H822">
        <v>21.167999999999999</v>
      </c>
      <c r="I822" s="1" t="s">
        <v>36</v>
      </c>
      <c r="J822">
        <v>16</v>
      </c>
      <c r="K822" s="1" t="s">
        <v>1499</v>
      </c>
      <c r="L822">
        <v>2024</v>
      </c>
    </row>
    <row r="823" spans="1:12" x14ac:dyDescent="0.3">
      <c r="A823" s="1" t="s">
        <v>1274</v>
      </c>
      <c r="B823" s="4">
        <v>45615</v>
      </c>
      <c r="C823" s="1" t="s">
        <v>248</v>
      </c>
      <c r="D823" s="1" t="s">
        <v>114</v>
      </c>
      <c r="E823">
        <v>3</v>
      </c>
      <c r="F823">
        <v>195.89</v>
      </c>
      <c r="G823">
        <v>587.66999999999996</v>
      </c>
      <c r="H823">
        <v>176.30099999999999</v>
      </c>
      <c r="I823" s="1" t="s">
        <v>19</v>
      </c>
      <c r="J823">
        <v>19</v>
      </c>
      <c r="K823" s="1" t="s">
        <v>1500</v>
      </c>
      <c r="L823">
        <v>2024</v>
      </c>
    </row>
    <row r="824" spans="1:12" x14ac:dyDescent="0.3">
      <c r="A824" s="1" t="s">
        <v>1275</v>
      </c>
      <c r="B824" s="4">
        <v>45729</v>
      </c>
      <c r="C824" s="1" t="s">
        <v>113</v>
      </c>
      <c r="D824" s="1" t="s">
        <v>332</v>
      </c>
      <c r="E824">
        <v>10</v>
      </c>
      <c r="F824">
        <v>115.1</v>
      </c>
      <c r="G824">
        <v>1151</v>
      </c>
      <c r="H824">
        <v>345.3</v>
      </c>
      <c r="I824" s="1" t="s">
        <v>11</v>
      </c>
      <c r="J824">
        <v>13</v>
      </c>
      <c r="K824" s="1" t="s">
        <v>1491</v>
      </c>
      <c r="L824">
        <v>2025</v>
      </c>
    </row>
    <row r="825" spans="1:12" x14ac:dyDescent="0.3">
      <c r="A825" s="1" t="s">
        <v>1276</v>
      </c>
      <c r="B825" s="4">
        <v>45794</v>
      </c>
      <c r="C825" s="1" t="s">
        <v>845</v>
      </c>
      <c r="D825" s="1" t="s">
        <v>111</v>
      </c>
      <c r="E825">
        <v>5</v>
      </c>
      <c r="F825">
        <v>91.3</v>
      </c>
      <c r="G825">
        <v>456.5</v>
      </c>
      <c r="H825">
        <v>136.94999999999999</v>
      </c>
      <c r="I825" s="1" t="s">
        <v>19</v>
      </c>
      <c r="J825">
        <v>17</v>
      </c>
      <c r="K825" s="1" t="s">
        <v>1492</v>
      </c>
      <c r="L825">
        <v>2025</v>
      </c>
    </row>
    <row r="826" spans="1:12" x14ac:dyDescent="0.3">
      <c r="A826" s="1" t="s">
        <v>1277</v>
      </c>
      <c r="B826" s="4">
        <v>45873</v>
      </c>
      <c r="C826" s="1" t="s">
        <v>1116</v>
      </c>
      <c r="D826" s="1" t="s">
        <v>18</v>
      </c>
      <c r="E826">
        <v>8</v>
      </c>
      <c r="F826">
        <v>185.22</v>
      </c>
      <c r="G826">
        <v>1481.76</v>
      </c>
      <c r="H826">
        <v>444.52799999999996</v>
      </c>
      <c r="I826" s="1" t="s">
        <v>15</v>
      </c>
      <c r="J826">
        <v>4</v>
      </c>
      <c r="K826" s="1" t="s">
        <v>1499</v>
      </c>
      <c r="L826">
        <v>2025</v>
      </c>
    </row>
    <row r="827" spans="1:12" x14ac:dyDescent="0.3">
      <c r="A827" s="1" t="s">
        <v>1278</v>
      </c>
      <c r="B827" s="4">
        <v>45787</v>
      </c>
      <c r="C827" s="1" t="s">
        <v>234</v>
      </c>
      <c r="D827" s="1" t="s">
        <v>33</v>
      </c>
      <c r="E827">
        <v>3</v>
      </c>
      <c r="F827">
        <v>78.92</v>
      </c>
      <c r="G827">
        <v>236.76</v>
      </c>
      <c r="H827">
        <v>71.027999999999992</v>
      </c>
      <c r="I827" s="1" t="s">
        <v>11</v>
      </c>
      <c r="J827">
        <v>10</v>
      </c>
      <c r="K827" s="1" t="s">
        <v>1492</v>
      </c>
      <c r="L827">
        <v>2025</v>
      </c>
    </row>
    <row r="828" spans="1:12" x14ac:dyDescent="0.3">
      <c r="A828" s="1" t="s">
        <v>1279</v>
      </c>
      <c r="B828" s="4">
        <v>45483</v>
      </c>
      <c r="C828" s="1" t="s">
        <v>1280</v>
      </c>
      <c r="D828" s="1" t="s">
        <v>156</v>
      </c>
      <c r="E828">
        <v>6</v>
      </c>
      <c r="F828">
        <v>182.55</v>
      </c>
      <c r="G828">
        <v>1095.3</v>
      </c>
      <c r="H828">
        <v>328.59</v>
      </c>
      <c r="I828" s="1" t="s">
        <v>36</v>
      </c>
      <c r="J828">
        <v>10</v>
      </c>
      <c r="K828" s="1" t="s">
        <v>1498</v>
      </c>
      <c r="L828">
        <v>2024</v>
      </c>
    </row>
    <row r="829" spans="1:12" x14ac:dyDescent="0.3">
      <c r="A829" s="1" t="s">
        <v>1281</v>
      </c>
      <c r="B829" s="4">
        <v>45603</v>
      </c>
      <c r="C829" s="1" t="s">
        <v>1024</v>
      </c>
      <c r="D829" s="1" t="s">
        <v>132</v>
      </c>
      <c r="E829">
        <v>10</v>
      </c>
      <c r="F829">
        <v>52.45</v>
      </c>
      <c r="G829">
        <v>524.5</v>
      </c>
      <c r="H829">
        <v>157.35</v>
      </c>
      <c r="I829" s="1" t="s">
        <v>11</v>
      </c>
      <c r="J829">
        <v>7</v>
      </c>
      <c r="K829" s="1" t="s">
        <v>1500</v>
      </c>
      <c r="L829">
        <v>2024</v>
      </c>
    </row>
    <row r="830" spans="1:12" x14ac:dyDescent="0.3">
      <c r="A830" s="1" t="s">
        <v>1282</v>
      </c>
      <c r="B830" s="4">
        <v>45483</v>
      </c>
      <c r="C830" s="1" t="s">
        <v>673</v>
      </c>
      <c r="D830" s="1" t="s">
        <v>39</v>
      </c>
      <c r="E830">
        <v>7</v>
      </c>
      <c r="F830">
        <v>18.850000000000001</v>
      </c>
      <c r="G830">
        <v>131.94999999999999</v>
      </c>
      <c r="H830">
        <v>39.584999999999994</v>
      </c>
      <c r="I830" s="1" t="s">
        <v>19</v>
      </c>
      <c r="J830">
        <v>10</v>
      </c>
      <c r="K830" s="1" t="s">
        <v>1498</v>
      </c>
      <c r="L830">
        <v>2024</v>
      </c>
    </row>
    <row r="831" spans="1:12" x14ac:dyDescent="0.3">
      <c r="A831" s="1" t="s">
        <v>1283</v>
      </c>
      <c r="B831" s="4">
        <v>45480</v>
      </c>
      <c r="C831" s="1" t="s">
        <v>1079</v>
      </c>
      <c r="D831" s="1" t="s">
        <v>201</v>
      </c>
      <c r="E831">
        <v>1</v>
      </c>
      <c r="F831">
        <v>53.74</v>
      </c>
      <c r="G831">
        <v>53.74</v>
      </c>
      <c r="H831">
        <v>16.122</v>
      </c>
      <c r="I831" s="1" t="s">
        <v>36</v>
      </c>
      <c r="J831">
        <v>7</v>
      </c>
      <c r="K831" s="1" t="s">
        <v>1498</v>
      </c>
      <c r="L831">
        <v>2024</v>
      </c>
    </row>
    <row r="832" spans="1:12" x14ac:dyDescent="0.3">
      <c r="A832" s="1" t="s">
        <v>1284</v>
      </c>
      <c r="B832" s="4">
        <v>45905</v>
      </c>
      <c r="C832" s="1" t="s">
        <v>689</v>
      </c>
      <c r="D832" s="1" t="s">
        <v>72</v>
      </c>
      <c r="E832">
        <v>9</v>
      </c>
      <c r="F832">
        <v>134.61000000000001</v>
      </c>
      <c r="G832">
        <v>1211.49</v>
      </c>
      <c r="H832">
        <v>363.447</v>
      </c>
      <c r="I832" s="1" t="s">
        <v>11</v>
      </c>
      <c r="J832">
        <v>5</v>
      </c>
      <c r="K832" s="1" t="s">
        <v>1501</v>
      </c>
      <c r="L832">
        <v>2025</v>
      </c>
    </row>
    <row r="833" spans="1:12" x14ac:dyDescent="0.3">
      <c r="A833" s="1" t="s">
        <v>1285</v>
      </c>
      <c r="B833" s="4">
        <v>45655</v>
      </c>
      <c r="C833" s="1" t="s">
        <v>1184</v>
      </c>
      <c r="D833" s="1" t="s">
        <v>339</v>
      </c>
      <c r="E833">
        <v>8</v>
      </c>
      <c r="F833">
        <v>73.89</v>
      </c>
      <c r="G833">
        <v>591.12</v>
      </c>
      <c r="H833">
        <v>177.33599999999998</v>
      </c>
      <c r="I833" s="1" t="s">
        <v>15</v>
      </c>
      <c r="J833">
        <v>29</v>
      </c>
      <c r="K833" s="1" t="s">
        <v>1495</v>
      </c>
      <c r="L833">
        <v>2024</v>
      </c>
    </row>
    <row r="834" spans="1:12" x14ac:dyDescent="0.3">
      <c r="A834" s="1" t="s">
        <v>1286</v>
      </c>
      <c r="B834" s="4">
        <v>45941</v>
      </c>
      <c r="C834" s="1" t="s">
        <v>450</v>
      </c>
      <c r="D834" s="1" t="s">
        <v>67</v>
      </c>
      <c r="E834">
        <v>9</v>
      </c>
      <c r="F834">
        <v>29.94</v>
      </c>
      <c r="G834">
        <v>269.45999999999998</v>
      </c>
      <c r="H834">
        <v>80.837999999999994</v>
      </c>
      <c r="I834" s="1" t="s">
        <v>11</v>
      </c>
      <c r="J834">
        <v>11</v>
      </c>
      <c r="K834" s="1" t="s">
        <v>1490</v>
      </c>
      <c r="L834">
        <v>2025</v>
      </c>
    </row>
    <row r="835" spans="1:12" x14ac:dyDescent="0.3">
      <c r="A835" s="1" t="s">
        <v>1287</v>
      </c>
      <c r="B835" s="4">
        <v>45742</v>
      </c>
      <c r="C835" s="1" t="s">
        <v>633</v>
      </c>
      <c r="D835" s="1" t="s">
        <v>27</v>
      </c>
      <c r="E835">
        <v>1</v>
      </c>
      <c r="F835">
        <v>35.03</v>
      </c>
      <c r="G835">
        <v>35.03</v>
      </c>
      <c r="H835">
        <v>10.509</v>
      </c>
      <c r="I835" s="1" t="s">
        <v>19</v>
      </c>
      <c r="J835">
        <v>26</v>
      </c>
      <c r="K835" s="1" t="s">
        <v>1491</v>
      </c>
      <c r="L835">
        <v>2025</v>
      </c>
    </row>
    <row r="836" spans="1:12" x14ac:dyDescent="0.3">
      <c r="A836" s="1" t="s">
        <v>1288</v>
      </c>
      <c r="B836" s="4">
        <v>45998</v>
      </c>
      <c r="C836" s="1" t="s">
        <v>260</v>
      </c>
      <c r="D836" s="1" t="s">
        <v>102</v>
      </c>
      <c r="E836">
        <v>3</v>
      </c>
      <c r="F836">
        <v>41.45</v>
      </c>
      <c r="G836">
        <v>124.35</v>
      </c>
      <c r="H836">
        <v>37.305</v>
      </c>
      <c r="I836" s="1" t="s">
        <v>11</v>
      </c>
      <c r="J836">
        <v>7</v>
      </c>
      <c r="K836" s="1" t="s">
        <v>1495</v>
      </c>
      <c r="L836">
        <v>2025</v>
      </c>
    </row>
    <row r="837" spans="1:12" x14ac:dyDescent="0.3">
      <c r="A837" s="1" t="s">
        <v>1289</v>
      </c>
      <c r="B837" s="4">
        <v>45454</v>
      </c>
      <c r="C837" s="1" t="s">
        <v>1290</v>
      </c>
      <c r="D837" s="1" t="s">
        <v>239</v>
      </c>
      <c r="E837">
        <v>5</v>
      </c>
      <c r="F837">
        <v>103.45</v>
      </c>
      <c r="G837">
        <v>517.25</v>
      </c>
      <c r="H837">
        <v>155.17499999999998</v>
      </c>
      <c r="I837" s="1" t="s">
        <v>36</v>
      </c>
      <c r="J837">
        <v>11</v>
      </c>
      <c r="K837" s="1" t="s">
        <v>1497</v>
      </c>
      <c r="L837">
        <v>2024</v>
      </c>
    </row>
    <row r="838" spans="1:12" x14ac:dyDescent="0.3">
      <c r="A838" s="1" t="s">
        <v>1291</v>
      </c>
      <c r="B838" s="4">
        <v>45923</v>
      </c>
      <c r="C838" s="1" t="s">
        <v>481</v>
      </c>
      <c r="D838" s="1" t="s">
        <v>114</v>
      </c>
      <c r="E838">
        <v>6</v>
      </c>
      <c r="F838">
        <v>195.89</v>
      </c>
      <c r="G838">
        <v>1175.3399999999999</v>
      </c>
      <c r="H838">
        <v>352.60199999999998</v>
      </c>
      <c r="I838" s="1" t="s">
        <v>11</v>
      </c>
      <c r="J838">
        <v>23</v>
      </c>
      <c r="K838" s="1" t="s">
        <v>1501</v>
      </c>
      <c r="L838">
        <v>2025</v>
      </c>
    </row>
    <row r="839" spans="1:12" x14ac:dyDescent="0.3">
      <c r="A839" s="1" t="s">
        <v>1292</v>
      </c>
      <c r="B839" s="4">
        <v>46001</v>
      </c>
      <c r="C839" s="1" t="s">
        <v>1293</v>
      </c>
      <c r="D839" s="1" t="s">
        <v>54</v>
      </c>
      <c r="E839">
        <v>6</v>
      </c>
      <c r="F839">
        <v>28.55</v>
      </c>
      <c r="G839">
        <v>171.3</v>
      </c>
      <c r="H839">
        <v>51.39</v>
      </c>
      <c r="I839" s="1" t="s">
        <v>15</v>
      </c>
      <c r="J839">
        <v>10</v>
      </c>
      <c r="K839" s="1" t="s">
        <v>1495</v>
      </c>
      <c r="L839">
        <v>2025</v>
      </c>
    </row>
    <row r="840" spans="1:12" x14ac:dyDescent="0.3">
      <c r="A840" s="1" t="s">
        <v>1294</v>
      </c>
      <c r="B840" s="4">
        <v>45585</v>
      </c>
      <c r="C840" s="1" t="s">
        <v>377</v>
      </c>
      <c r="D840" s="1" t="s">
        <v>246</v>
      </c>
      <c r="E840">
        <v>2</v>
      </c>
      <c r="F840">
        <v>17.22</v>
      </c>
      <c r="G840">
        <v>34.44</v>
      </c>
      <c r="H840">
        <v>10.331999999999999</v>
      </c>
      <c r="I840" s="1" t="s">
        <v>36</v>
      </c>
      <c r="J840">
        <v>20</v>
      </c>
      <c r="K840" s="1" t="s">
        <v>1490</v>
      </c>
      <c r="L840">
        <v>2024</v>
      </c>
    </row>
    <row r="841" spans="1:12" x14ac:dyDescent="0.3">
      <c r="A841" s="1" t="s">
        <v>1295</v>
      </c>
      <c r="B841" s="4">
        <v>45743</v>
      </c>
      <c r="C841" s="1" t="s">
        <v>1296</v>
      </c>
      <c r="D841" s="1" t="s">
        <v>99</v>
      </c>
      <c r="E841">
        <v>9</v>
      </c>
      <c r="F841">
        <v>162.96</v>
      </c>
      <c r="G841">
        <v>1466.64</v>
      </c>
      <c r="H841">
        <v>439.99200000000002</v>
      </c>
      <c r="I841" s="1" t="s">
        <v>36</v>
      </c>
      <c r="J841">
        <v>27</v>
      </c>
      <c r="K841" s="1" t="s">
        <v>1491</v>
      </c>
      <c r="L841">
        <v>2025</v>
      </c>
    </row>
    <row r="842" spans="1:12" x14ac:dyDescent="0.3">
      <c r="A842" s="1" t="s">
        <v>1297</v>
      </c>
      <c r="B842" s="4">
        <v>45325</v>
      </c>
      <c r="C842" s="1" t="s">
        <v>223</v>
      </c>
      <c r="D842" s="1" t="s">
        <v>83</v>
      </c>
      <c r="E842">
        <v>2</v>
      </c>
      <c r="F842">
        <v>28.49</v>
      </c>
      <c r="G842">
        <v>56.98</v>
      </c>
      <c r="H842">
        <v>17.093999999999998</v>
      </c>
      <c r="I842" s="1" t="s">
        <v>19</v>
      </c>
      <c r="J842">
        <v>3</v>
      </c>
      <c r="K842" s="1" t="s">
        <v>1494</v>
      </c>
      <c r="L842">
        <v>2024</v>
      </c>
    </row>
    <row r="843" spans="1:12" x14ac:dyDescent="0.3">
      <c r="A843" s="1" t="s">
        <v>1298</v>
      </c>
      <c r="B843" s="4">
        <v>45743</v>
      </c>
      <c r="C843" s="1" t="s">
        <v>1208</v>
      </c>
      <c r="D843" s="1" t="s">
        <v>39</v>
      </c>
      <c r="E843">
        <v>4</v>
      </c>
      <c r="F843">
        <v>18.850000000000001</v>
      </c>
      <c r="G843">
        <v>75.400000000000006</v>
      </c>
      <c r="H843">
        <v>22.62</v>
      </c>
      <c r="I843" s="1" t="s">
        <v>11</v>
      </c>
      <c r="J843">
        <v>27</v>
      </c>
      <c r="K843" s="1" t="s">
        <v>1491</v>
      </c>
      <c r="L843">
        <v>2025</v>
      </c>
    </row>
    <row r="844" spans="1:12" x14ac:dyDescent="0.3">
      <c r="A844" s="1" t="s">
        <v>1299</v>
      </c>
      <c r="B844" s="4">
        <v>45731</v>
      </c>
      <c r="C844" s="1" t="s">
        <v>1300</v>
      </c>
      <c r="D844" s="1" t="s">
        <v>67</v>
      </c>
      <c r="E844">
        <v>7</v>
      </c>
      <c r="F844">
        <v>29.94</v>
      </c>
      <c r="G844">
        <v>209.58</v>
      </c>
      <c r="H844">
        <v>62.874000000000002</v>
      </c>
      <c r="I844" s="1" t="s">
        <v>15</v>
      </c>
      <c r="J844">
        <v>15</v>
      </c>
      <c r="K844" s="1" t="s">
        <v>1491</v>
      </c>
      <c r="L844">
        <v>2025</v>
      </c>
    </row>
    <row r="845" spans="1:12" x14ac:dyDescent="0.3">
      <c r="A845" s="1" t="s">
        <v>1301</v>
      </c>
      <c r="B845" s="4">
        <v>45485</v>
      </c>
      <c r="C845" s="1" t="s">
        <v>823</v>
      </c>
      <c r="D845" s="1" t="s">
        <v>51</v>
      </c>
      <c r="E845">
        <v>1</v>
      </c>
      <c r="F845">
        <v>64.62</v>
      </c>
      <c r="G845">
        <v>64.62</v>
      </c>
      <c r="H845">
        <v>19.385999999999999</v>
      </c>
      <c r="I845" s="1" t="s">
        <v>11</v>
      </c>
      <c r="J845">
        <v>12</v>
      </c>
      <c r="K845" s="1" t="s">
        <v>1498</v>
      </c>
      <c r="L845">
        <v>2024</v>
      </c>
    </row>
    <row r="846" spans="1:12" x14ac:dyDescent="0.3">
      <c r="A846" s="1" t="s">
        <v>1302</v>
      </c>
      <c r="B846" s="4">
        <v>45638</v>
      </c>
      <c r="C846" s="1" t="s">
        <v>705</v>
      </c>
      <c r="D846" s="1" t="s">
        <v>151</v>
      </c>
      <c r="E846">
        <v>2</v>
      </c>
      <c r="F846">
        <v>89.88</v>
      </c>
      <c r="G846">
        <v>179.76</v>
      </c>
      <c r="H846">
        <v>53.927999999999997</v>
      </c>
      <c r="I846" s="1" t="s">
        <v>19</v>
      </c>
      <c r="J846">
        <v>12</v>
      </c>
      <c r="K846" s="1" t="s">
        <v>1495</v>
      </c>
      <c r="L846">
        <v>2024</v>
      </c>
    </row>
    <row r="847" spans="1:12" x14ac:dyDescent="0.3">
      <c r="A847" s="1" t="s">
        <v>1303</v>
      </c>
      <c r="B847" s="4">
        <v>45910</v>
      </c>
      <c r="C847" s="1" t="s">
        <v>633</v>
      </c>
      <c r="D847" s="1" t="s">
        <v>24</v>
      </c>
      <c r="E847">
        <v>10</v>
      </c>
      <c r="F847">
        <v>134.32</v>
      </c>
      <c r="G847">
        <v>1343.2</v>
      </c>
      <c r="H847">
        <v>402.96</v>
      </c>
      <c r="I847" s="1" t="s">
        <v>15</v>
      </c>
      <c r="J847">
        <v>10</v>
      </c>
      <c r="K847" s="1" t="s">
        <v>1501</v>
      </c>
      <c r="L847">
        <v>2025</v>
      </c>
    </row>
    <row r="848" spans="1:12" x14ac:dyDescent="0.3">
      <c r="A848" s="1" t="s">
        <v>1304</v>
      </c>
      <c r="B848" s="4">
        <v>45807</v>
      </c>
      <c r="C848" s="1" t="s">
        <v>468</v>
      </c>
      <c r="D848" s="1" t="s">
        <v>176</v>
      </c>
      <c r="E848">
        <v>2</v>
      </c>
      <c r="F848">
        <v>68.41</v>
      </c>
      <c r="G848">
        <v>136.82</v>
      </c>
      <c r="H848">
        <v>41.045999999999999</v>
      </c>
      <c r="I848" s="1" t="s">
        <v>19</v>
      </c>
      <c r="J848">
        <v>30</v>
      </c>
      <c r="K848" s="1" t="s">
        <v>1492</v>
      </c>
      <c r="L848">
        <v>2025</v>
      </c>
    </row>
    <row r="849" spans="1:12" x14ac:dyDescent="0.3">
      <c r="A849" s="1" t="s">
        <v>1305</v>
      </c>
      <c r="B849" s="4">
        <v>45416</v>
      </c>
      <c r="C849" s="1" t="s">
        <v>644</v>
      </c>
      <c r="D849" s="1" t="s">
        <v>339</v>
      </c>
      <c r="E849">
        <v>9</v>
      </c>
      <c r="F849">
        <v>73.89</v>
      </c>
      <c r="G849">
        <v>665.01</v>
      </c>
      <c r="H849">
        <v>199.50299999999999</v>
      </c>
      <c r="I849" s="1" t="s">
        <v>36</v>
      </c>
      <c r="J849">
        <v>4</v>
      </c>
      <c r="K849" s="1" t="s">
        <v>1492</v>
      </c>
      <c r="L849">
        <v>2024</v>
      </c>
    </row>
    <row r="850" spans="1:12" x14ac:dyDescent="0.3">
      <c r="A850" s="1" t="s">
        <v>1306</v>
      </c>
      <c r="B850" s="4">
        <v>45584</v>
      </c>
      <c r="C850" s="1" t="s">
        <v>1237</v>
      </c>
      <c r="D850" s="1" t="s">
        <v>221</v>
      </c>
      <c r="E850">
        <v>2</v>
      </c>
      <c r="F850">
        <v>108.19</v>
      </c>
      <c r="G850">
        <v>216.38</v>
      </c>
      <c r="H850">
        <v>64.914000000000001</v>
      </c>
      <c r="I850" s="1" t="s">
        <v>19</v>
      </c>
      <c r="J850">
        <v>19</v>
      </c>
      <c r="K850" s="1" t="s">
        <v>1490</v>
      </c>
      <c r="L850">
        <v>2024</v>
      </c>
    </row>
    <row r="851" spans="1:12" x14ac:dyDescent="0.3">
      <c r="A851" s="1" t="s">
        <v>1307</v>
      </c>
      <c r="B851" s="4">
        <v>45964</v>
      </c>
      <c r="C851" s="1" t="s">
        <v>637</v>
      </c>
      <c r="D851" s="1" t="s">
        <v>10</v>
      </c>
      <c r="E851">
        <v>6</v>
      </c>
      <c r="F851">
        <v>112.61</v>
      </c>
      <c r="G851">
        <v>675.66</v>
      </c>
      <c r="H851">
        <v>202.69799999999998</v>
      </c>
      <c r="I851" s="1" t="s">
        <v>15</v>
      </c>
      <c r="J851">
        <v>3</v>
      </c>
      <c r="K851" s="1" t="s">
        <v>1500</v>
      </c>
      <c r="L851">
        <v>2025</v>
      </c>
    </row>
    <row r="852" spans="1:12" x14ac:dyDescent="0.3">
      <c r="A852" s="1" t="s">
        <v>1308</v>
      </c>
      <c r="B852" s="4">
        <v>45563</v>
      </c>
      <c r="C852" s="1" t="s">
        <v>50</v>
      </c>
      <c r="D852" s="1" t="s">
        <v>83</v>
      </c>
      <c r="E852">
        <v>9</v>
      </c>
      <c r="F852">
        <v>28.49</v>
      </c>
      <c r="G852">
        <v>256.41000000000003</v>
      </c>
      <c r="H852">
        <v>76.923000000000002</v>
      </c>
      <c r="I852" s="1" t="s">
        <v>36</v>
      </c>
      <c r="J852">
        <v>28</v>
      </c>
      <c r="K852" s="1" t="s">
        <v>1501</v>
      </c>
      <c r="L852">
        <v>2024</v>
      </c>
    </row>
    <row r="853" spans="1:12" x14ac:dyDescent="0.3">
      <c r="A853" s="1" t="s">
        <v>1309</v>
      </c>
      <c r="B853" s="4">
        <v>45353</v>
      </c>
      <c r="C853" s="1" t="s">
        <v>1161</v>
      </c>
      <c r="D853" s="1" t="s">
        <v>261</v>
      </c>
      <c r="E853">
        <v>8</v>
      </c>
      <c r="F853">
        <v>176.31</v>
      </c>
      <c r="G853">
        <v>1410.48</v>
      </c>
      <c r="H853">
        <v>423.14400000000001</v>
      </c>
      <c r="I853" s="1" t="s">
        <v>36</v>
      </c>
      <c r="J853">
        <v>2</v>
      </c>
      <c r="K853" s="1" t="s">
        <v>1491</v>
      </c>
      <c r="L853">
        <v>2024</v>
      </c>
    </row>
    <row r="854" spans="1:12" x14ac:dyDescent="0.3">
      <c r="A854" s="1" t="s">
        <v>1310</v>
      </c>
      <c r="B854" s="4">
        <v>46014</v>
      </c>
      <c r="C854" s="1" t="s">
        <v>150</v>
      </c>
      <c r="D854" s="1" t="s">
        <v>327</v>
      </c>
      <c r="E854">
        <v>1</v>
      </c>
      <c r="F854">
        <v>89.24</v>
      </c>
      <c r="G854">
        <v>89.24</v>
      </c>
      <c r="H854">
        <v>26.771999999999998</v>
      </c>
      <c r="I854" s="1" t="s">
        <v>15</v>
      </c>
      <c r="J854">
        <v>23</v>
      </c>
      <c r="K854" s="1" t="s">
        <v>1495</v>
      </c>
      <c r="L854">
        <v>2025</v>
      </c>
    </row>
    <row r="855" spans="1:12" x14ac:dyDescent="0.3">
      <c r="A855" s="1" t="s">
        <v>1311</v>
      </c>
      <c r="B855" s="4">
        <v>45314</v>
      </c>
      <c r="C855" s="1" t="s">
        <v>1312</v>
      </c>
      <c r="D855" s="1" t="s">
        <v>201</v>
      </c>
      <c r="E855">
        <v>2</v>
      </c>
      <c r="F855">
        <v>53.74</v>
      </c>
      <c r="G855">
        <v>107.48</v>
      </c>
      <c r="H855">
        <v>32.244</v>
      </c>
      <c r="I855" s="1" t="s">
        <v>19</v>
      </c>
      <c r="J855">
        <v>23</v>
      </c>
      <c r="K855" s="1" t="s">
        <v>1493</v>
      </c>
      <c r="L855">
        <v>2024</v>
      </c>
    </row>
    <row r="856" spans="1:12" x14ac:dyDescent="0.3">
      <c r="A856" s="1" t="s">
        <v>1313</v>
      </c>
      <c r="B856" s="4">
        <v>45802</v>
      </c>
      <c r="C856" s="1" t="s">
        <v>660</v>
      </c>
      <c r="D856" s="1" t="s">
        <v>88</v>
      </c>
      <c r="E856">
        <v>1</v>
      </c>
      <c r="F856">
        <v>162.21</v>
      </c>
      <c r="G856">
        <v>162.21</v>
      </c>
      <c r="H856">
        <v>48.663000000000004</v>
      </c>
      <c r="I856" s="1" t="s">
        <v>19</v>
      </c>
      <c r="J856">
        <v>25</v>
      </c>
      <c r="K856" s="1" t="s">
        <v>1492</v>
      </c>
      <c r="L856">
        <v>2025</v>
      </c>
    </row>
    <row r="857" spans="1:12" x14ac:dyDescent="0.3">
      <c r="A857" s="1" t="s">
        <v>1314</v>
      </c>
      <c r="B857" s="4">
        <v>45744</v>
      </c>
      <c r="C857" s="1" t="s">
        <v>1315</v>
      </c>
      <c r="D857" s="1" t="s">
        <v>176</v>
      </c>
      <c r="E857">
        <v>3</v>
      </c>
      <c r="F857">
        <v>68.41</v>
      </c>
      <c r="G857">
        <v>205.23</v>
      </c>
      <c r="H857">
        <v>61.568999999999996</v>
      </c>
      <c r="I857" s="1" t="s">
        <v>15</v>
      </c>
      <c r="J857">
        <v>28</v>
      </c>
      <c r="K857" s="1" t="s">
        <v>1491</v>
      </c>
      <c r="L857">
        <v>2025</v>
      </c>
    </row>
    <row r="858" spans="1:12" x14ac:dyDescent="0.3">
      <c r="A858" s="1" t="s">
        <v>1316</v>
      </c>
      <c r="B858" s="4">
        <v>45970</v>
      </c>
      <c r="C858" s="1" t="s">
        <v>408</v>
      </c>
      <c r="D858" s="1" t="s">
        <v>111</v>
      </c>
      <c r="E858">
        <v>4</v>
      </c>
      <c r="F858">
        <v>91.3</v>
      </c>
      <c r="G858">
        <v>365.2</v>
      </c>
      <c r="H858">
        <v>109.55999999999999</v>
      </c>
      <c r="I858" s="1" t="s">
        <v>19</v>
      </c>
      <c r="J858">
        <v>9</v>
      </c>
      <c r="K858" s="1" t="s">
        <v>1500</v>
      </c>
      <c r="L858">
        <v>2025</v>
      </c>
    </row>
    <row r="859" spans="1:12" x14ac:dyDescent="0.3">
      <c r="A859" s="1" t="s">
        <v>1317</v>
      </c>
      <c r="B859" s="4">
        <v>45303</v>
      </c>
      <c r="C859" s="1" t="s">
        <v>299</v>
      </c>
      <c r="D859" s="1" t="s">
        <v>327</v>
      </c>
      <c r="E859">
        <v>1</v>
      </c>
      <c r="F859">
        <v>89.24</v>
      </c>
      <c r="G859">
        <v>89.24</v>
      </c>
      <c r="H859">
        <v>26.771999999999998</v>
      </c>
      <c r="I859" s="1" t="s">
        <v>36</v>
      </c>
      <c r="J859">
        <v>12</v>
      </c>
      <c r="K859" s="1" t="s">
        <v>1493</v>
      </c>
      <c r="L859">
        <v>2024</v>
      </c>
    </row>
    <row r="860" spans="1:12" x14ac:dyDescent="0.3">
      <c r="A860" s="1" t="s">
        <v>1318</v>
      </c>
      <c r="B860" s="4">
        <v>45767</v>
      </c>
      <c r="C860" s="1" t="s">
        <v>466</v>
      </c>
      <c r="D860" s="1" t="s">
        <v>39</v>
      </c>
      <c r="E860">
        <v>6</v>
      </c>
      <c r="F860">
        <v>18.850000000000001</v>
      </c>
      <c r="G860">
        <v>113.1</v>
      </c>
      <c r="H860">
        <v>33.93</v>
      </c>
      <c r="I860" s="1" t="s">
        <v>11</v>
      </c>
      <c r="J860">
        <v>20</v>
      </c>
      <c r="K860" s="1" t="s">
        <v>1496</v>
      </c>
      <c r="L860">
        <v>2025</v>
      </c>
    </row>
    <row r="861" spans="1:12" x14ac:dyDescent="0.3">
      <c r="A861" s="1" t="s">
        <v>1319</v>
      </c>
      <c r="B861" s="4">
        <v>45339</v>
      </c>
      <c r="C861" s="1" t="s">
        <v>199</v>
      </c>
      <c r="D861" s="1" t="s">
        <v>10</v>
      </c>
      <c r="E861">
        <v>3</v>
      </c>
      <c r="F861">
        <v>112.61</v>
      </c>
      <c r="G861">
        <v>337.83</v>
      </c>
      <c r="H861">
        <v>101.34899999999999</v>
      </c>
      <c r="I861" s="1" t="s">
        <v>15</v>
      </c>
      <c r="J861">
        <v>17</v>
      </c>
      <c r="K861" s="1" t="s">
        <v>1494</v>
      </c>
      <c r="L861">
        <v>2024</v>
      </c>
    </row>
    <row r="862" spans="1:12" x14ac:dyDescent="0.3">
      <c r="A862" s="1" t="s">
        <v>1320</v>
      </c>
      <c r="B862" s="4">
        <v>45412</v>
      </c>
      <c r="C862" s="1" t="s">
        <v>23</v>
      </c>
      <c r="D862" s="1" t="s">
        <v>18</v>
      </c>
      <c r="E862">
        <v>5</v>
      </c>
      <c r="F862">
        <v>185.22</v>
      </c>
      <c r="G862">
        <v>926.1</v>
      </c>
      <c r="H862">
        <v>277.83</v>
      </c>
      <c r="I862" s="1" t="s">
        <v>36</v>
      </c>
      <c r="J862">
        <v>30</v>
      </c>
      <c r="K862" s="1" t="s">
        <v>1496</v>
      </c>
      <c r="L862">
        <v>2024</v>
      </c>
    </row>
    <row r="863" spans="1:12" x14ac:dyDescent="0.3">
      <c r="A863" s="1" t="s">
        <v>1321</v>
      </c>
      <c r="B863" s="4">
        <v>45354</v>
      </c>
      <c r="C863" s="1" t="s">
        <v>69</v>
      </c>
      <c r="D863" s="1" t="s">
        <v>102</v>
      </c>
      <c r="E863">
        <v>10</v>
      </c>
      <c r="F863">
        <v>41.45</v>
      </c>
      <c r="G863">
        <v>414.5</v>
      </c>
      <c r="H863">
        <v>124.35</v>
      </c>
      <c r="I863" s="1" t="s">
        <v>11</v>
      </c>
      <c r="J863">
        <v>3</v>
      </c>
      <c r="K863" s="1" t="s">
        <v>1491</v>
      </c>
      <c r="L863">
        <v>2024</v>
      </c>
    </row>
    <row r="864" spans="1:12" x14ac:dyDescent="0.3">
      <c r="A864" s="1" t="s">
        <v>1322</v>
      </c>
      <c r="B864" s="4">
        <v>45336</v>
      </c>
      <c r="C864" s="1" t="s">
        <v>597</v>
      </c>
      <c r="D864" s="1" t="s">
        <v>83</v>
      </c>
      <c r="E864">
        <v>5</v>
      </c>
      <c r="F864">
        <v>28.49</v>
      </c>
      <c r="G864">
        <v>142.44999999999999</v>
      </c>
      <c r="H864">
        <v>42.734999999999992</v>
      </c>
      <c r="I864" s="1" t="s">
        <v>19</v>
      </c>
      <c r="J864">
        <v>14</v>
      </c>
      <c r="K864" s="1" t="s">
        <v>1494</v>
      </c>
      <c r="L864">
        <v>2024</v>
      </c>
    </row>
    <row r="865" spans="1:12" x14ac:dyDescent="0.3">
      <c r="A865" s="1" t="s">
        <v>1323</v>
      </c>
      <c r="B865" s="4">
        <v>45452</v>
      </c>
      <c r="C865" s="1" t="s">
        <v>137</v>
      </c>
      <c r="D865" s="1" t="s">
        <v>72</v>
      </c>
      <c r="E865">
        <v>4</v>
      </c>
      <c r="F865">
        <v>134.61000000000001</v>
      </c>
      <c r="G865">
        <v>538.44000000000005</v>
      </c>
      <c r="H865">
        <v>161.53200000000001</v>
      </c>
      <c r="I865" s="1" t="s">
        <v>36</v>
      </c>
      <c r="J865">
        <v>9</v>
      </c>
      <c r="K865" s="1" t="s">
        <v>1497</v>
      </c>
      <c r="L865">
        <v>2024</v>
      </c>
    </row>
    <row r="866" spans="1:12" x14ac:dyDescent="0.3">
      <c r="A866" s="1" t="s">
        <v>1324</v>
      </c>
      <c r="B866" s="4">
        <v>45324</v>
      </c>
      <c r="C866" s="1" t="s">
        <v>186</v>
      </c>
      <c r="D866" s="1" t="s">
        <v>145</v>
      </c>
      <c r="E866">
        <v>4</v>
      </c>
      <c r="F866">
        <v>180.47</v>
      </c>
      <c r="G866">
        <v>721.88</v>
      </c>
      <c r="H866">
        <v>216.56399999999999</v>
      </c>
      <c r="I866" s="1" t="s">
        <v>19</v>
      </c>
      <c r="J866">
        <v>2</v>
      </c>
      <c r="K866" s="1" t="s">
        <v>1494</v>
      </c>
      <c r="L866">
        <v>2024</v>
      </c>
    </row>
    <row r="867" spans="1:12" x14ac:dyDescent="0.3">
      <c r="A867" s="1" t="s">
        <v>1325</v>
      </c>
      <c r="B867" s="4">
        <v>45945</v>
      </c>
      <c r="C867" s="1" t="s">
        <v>1326</v>
      </c>
      <c r="D867" s="1" t="s">
        <v>165</v>
      </c>
      <c r="E867">
        <v>6</v>
      </c>
      <c r="F867">
        <v>29.47</v>
      </c>
      <c r="G867">
        <v>176.82</v>
      </c>
      <c r="H867">
        <v>53.045999999999999</v>
      </c>
      <c r="I867" s="1" t="s">
        <v>15</v>
      </c>
      <c r="J867">
        <v>15</v>
      </c>
      <c r="K867" s="1" t="s">
        <v>1490</v>
      </c>
      <c r="L867">
        <v>2025</v>
      </c>
    </row>
    <row r="868" spans="1:12" x14ac:dyDescent="0.3">
      <c r="A868" s="1" t="s">
        <v>1327</v>
      </c>
      <c r="B868" s="4">
        <v>45401</v>
      </c>
      <c r="C868" s="1" t="s">
        <v>13</v>
      </c>
      <c r="D868" s="1" t="s">
        <v>256</v>
      </c>
      <c r="E868">
        <v>4</v>
      </c>
      <c r="F868">
        <v>58.12</v>
      </c>
      <c r="G868">
        <v>232.48</v>
      </c>
      <c r="H868">
        <v>69.744</v>
      </c>
      <c r="I868" s="1" t="s">
        <v>19</v>
      </c>
      <c r="J868">
        <v>19</v>
      </c>
      <c r="K868" s="1" t="s">
        <v>1496</v>
      </c>
      <c r="L868">
        <v>2024</v>
      </c>
    </row>
    <row r="869" spans="1:12" x14ac:dyDescent="0.3">
      <c r="A869" s="1" t="s">
        <v>1328</v>
      </c>
      <c r="B869" s="4">
        <v>45318</v>
      </c>
      <c r="C869" s="1" t="s">
        <v>270</v>
      </c>
      <c r="D869" s="1" t="s">
        <v>67</v>
      </c>
      <c r="E869">
        <v>10</v>
      </c>
      <c r="F869">
        <v>29.94</v>
      </c>
      <c r="G869">
        <v>299.39999999999998</v>
      </c>
      <c r="H869">
        <v>89.82</v>
      </c>
      <c r="I869" s="1" t="s">
        <v>36</v>
      </c>
      <c r="J869">
        <v>27</v>
      </c>
      <c r="K869" s="1" t="s">
        <v>1493</v>
      </c>
      <c r="L869">
        <v>2024</v>
      </c>
    </row>
    <row r="870" spans="1:12" x14ac:dyDescent="0.3">
      <c r="A870" s="1" t="s">
        <v>1329</v>
      </c>
      <c r="B870" s="4">
        <v>45914</v>
      </c>
      <c r="C870" s="1" t="s">
        <v>62</v>
      </c>
      <c r="D870" s="1" t="s">
        <v>24</v>
      </c>
      <c r="E870">
        <v>6</v>
      </c>
      <c r="F870">
        <v>134.32</v>
      </c>
      <c r="G870">
        <v>805.92</v>
      </c>
      <c r="H870">
        <v>241.77599999999998</v>
      </c>
      <c r="I870" s="1" t="s">
        <v>19</v>
      </c>
      <c r="J870">
        <v>14</v>
      </c>
      <c r="K870" s="1" t="s">
        <v>1501</v>
      </c>
      <c r="L870">
        <v>2025</v>
      </c>
    </row>
    <row r="871" spans="1:12" x14ac:dyDescent="0.3">
      <c r="A871" s="1" t="s">
        <v>1330</v>
      </c>
      <c r="B871" s="4">
        <v>45797</v>
      </c>
      <c r="C871" s="1" t="s">
        <v>77</v>
      </c>
      <c r="D871" s="1" t="s">
        <v>33</v>
      </c>
      <c r="E871">
        <v>7</v>
      </c>
      <c r="F871">
        <v>78.92</v>
      </c>
      <c r="G871">
        <v>552.44000000000005</v>
      </c>
      <c r="H871">
        <v>165.732</v>
      </c>
      <c r="I871" s="1" t="s">
        <v>36</v>
      </c>
      <c r="J871">
        <v>20</v>
      </c>
      <c r="K871" s="1" t="s">
        <v>1492</v>
      </c>
      <c r="L871">
        <v>2025</v>
      </c>
    </row>
    <row r="872" spans="1:12" x14ac:dyDescent="0.3">
      <c r="A872" s="1" t="s">
        <v>1331</v>
      </c>
      <c r="B872" s="4">
        <v>45977</v>
      </c>
      <c r="C872" s="1" t="s">
        <v>178</v>
      </c>
      <c r="D872" s="1" t="s">
        <v>60</v>
      </c>
      <c r="E872">
        <v>9</v>
      </c>
      <c r="F872">
        <v>107.88</v>
      </c>
      <c r="G872">
        <v>970.92</v>
      </c>
      <c r="H872">
        <v>291.27599999999995</v>
      </c>
      <c r="I872" s="1" t="s">
        <v>15</v>
      </c>
      <c r="J872">
        <v>16</v>
      </c>
      <c r="K872" s="1" t="s">
        <v>1500</v>
      </c>
      <c r="L872">
        <v>2025</v>
      </c>
    </row>
    <row r="873" spans="1:12" x14ac:dyDescent="0.3">
      <c r="A873" s="1" t="s">
        <v>1332</v>
      </c>
      <c r="B873" s="4">
        <v>45919</v>
      </c>
      <c r="C873" s="1" t="s">
        <v>1081</v>
      </c>
      <c r="D873" s="1" t="s">
        <v>60</v>
      </c>
      <c r="E873">
        <v>1</v>
      </c>
      <c r="F873">
        <v>107.88</v>
      </c>
      <c r="G873">
        <v>107.88</v>
      </c>
      <c r="H873">
        <v>32.363999999999997</v>
      </c>
      <c r="I873" s="1" t="s">
        <v>15</v>
      </c>
      <c r="J873">
        <v>19</v>
      </c>
      <c r="K873" s="1" t="s">
        <v>1501</v>
      </c>
      <c r="L873">
        <v>2025</v>
      </c>
    </row>
    <row r="874" spans="1:12" x14ac:dyDescent="0.3">
      <c r="A874" s="1" t="s">
        <v>1333</v>
      </c>
      <c r="B874" s="4">
        <v>45978</v>
      </c>
      <c r="C874" s="1" t="s">
        <v>331</v>
      </c>
      <c r="D874" s="1" t="s">
        <v>221</v>
      </c>
      <c r="E874">
        <v>8</v>
      </c>
      <c r="F874">
        <v>108.19</v>
      </c>
      <c r="G874">
        <v>865.52</v>
      </c>
      <c r="H874">
        <v>259.65600000000001</v>
      </c>
      <c r="I874" s="1" t="s">
        <v>19</v>
      </c>
      <c r="J874">
        <v>17</v>
      </c>
      <c r="K874" s="1" t="s">
        <v>1500</v>
      </c>
      <c r="L874">
        <v>2025</v>
      </c>
    </row>
    <row r="875" spans="1:12" x14ac:dyDescent="0.3">
      <c r="A875" s="1" t="s">
        <v>1334</v>
      </c>
      <c r="B875" s="4">
        <v>45562</v>
      </c>
      <c r="C875" s="1" t="s">
        <v>1266</v>
      </c>
      <c r="D875" s="1" t="s">
        <v>123</v>
      </c>
      <c r="E875">
        <v>9</v>
      </c>
      <c r="F875">
        <v>20.28</v>
      </c>
      <c r="G875">
        <v>182.52</v>
      </c>
      <c r="H875">
        <v>54.756</v>
      </c>
      <c r="I875" s="1" t="s">
        <v>36</v>
      </c>
      <c r="J875">
        <v>27</v>
      </c>
      <c r="K875" s="1" t="s">
        <v>1501</v>
      </c>
      <c r="L875">
        <v>2024</v>
      </c>
    </row>
    <row r="876" spans="1:12" x14ac:dyDescent="0.3">
      <c r="A876" s="1" t="s">
        <v>1335</v>
      </c>
      <c r="B876" s="4">
        <v>46001</v>
      </c>
      <c r="C876" s="1" t="s">
        <v>854</v>
      </c>
      <c r="D876" s="1" t="s">
        <v>145</v>
      </c>
      <c r="E876">
        <v>8</v>
      </c>
      <c r="F876">
        <v>180.47</v>
      </c>
      <c r="G876">
        <v>1443.76</v>
      </c>
      <c r="H876">
        <v>433.12799999999999</v>
      </c>
      <c r="I876" s="1" t="s">
        <v>11</v>
      </c>
      <c r="J876">
        <v>10</v>
      </c>
      <c r="K876" s="1" t="s">
        <v>1495</v>
      </c>
      <c r="L876">
        <v>2025</v>
      </c>
    </row>
    <row r="877" spans="1:12" x14ac:dyDescent="0.3">
      <c r="A877" s="1" t="s">
        <v>1336</v>
      </c>
      <c r="B877" s="4">
        <v>45321</v>
      </c>
      <c r="C877" s="1" t="s">
        <v>71</v>
      </c>
      <c r="D877" s="1" t="s">
        <v>332</v>
      </c>
      <c r="E877">
        <v>1</v>
      </c>
      <c r="F877">
        <v>115.1</v>
      </c>
      <c r="G877">
        <v>115.1</v>
      </c>
      <c r="H877">
        <v>34.529999999999994</v>
      </c>
      <c r="I877" s="1" t="s">
        <v>11</v>
      </c>
      <c r="J877">
        <v>30</v>
      </c>
      <c r="K877" s="1" t="s">
        <v>1493</v>
      </c>
      <c r="L877">
        <v>2024</v>
      </c>
    </row>
    <row r="878" spans="1:12" x14ac:dyDescent="0.3">
      <c r="A878" s="1" t="s">
        <v>1337</v>
      </c>
      <c r="B878" s="4">
        <v>45333</v>
      </c>
      <c r="C878" s="1" t="s">
        <v>110</v>
      </c>
      <c r="D878" s="1" t="s">
        <v>48</v>
      </c>
      <c r="E878">
        <v>7</v>
      </c>
      <c r="F878">
        <v>17.64</v>
      </c>
      <c r="G878">
        <v>123.48</v>
      </c>
      <c r="H878">
        <v>37.043999999999997</v>
      </c>
      <c r="I878" s="1" t="s">
        <v>19</v>
      </c>
      <c r="J878">
        <v>11</v>
      </c>
      <c r="K878" s="1" t="s">
        <v>1494</v>
      </c>
      <c r="L878">
        <v>2024</v>
      </c>
    </row>
    <row r="879" spans="1:12" x14ac:dyDescent="0.3">
      <c r="A879" s="1" t="s">
        <v>1338</v>
      </c>
      <c r="B879" s="4">
        <v>45669</v>
      </c>
      <c r="C879" s="1" t="s">
        <v>1083</v>
      </c>
      <c r="D879" s="1" t="s">
        <v>42</v>
      </c>
      <c r="E879">
        <v>3</v>
      </c>
      <c r="F879">
        <v>165.9</v>
      </c>
      <c r="G879">
        <v>497.7</v>
      </c>
      <c r="H879">
        <v>149.31</v>
      </c>
      <c r="I879" s="1" t="s">
        <v>11</v>
      </c>
      <c r="J879">
        <v>12</v>
      </c>
      <c r="K879" s="1" t="s">
        <v>1493</v>
      </c>
      <c r="L879">
        <v>2025</v>
      </c>
    </row>
    <row r="880" spans="1:12" x14ac:dyDescent="0.3">
      <c r="A880" s="1" t="s">
        <v>1339</v>
      </c>
      <c r="B880" s="4">
        <v>45372</v>
      </c>
      <c r="C880" s="1" t="s">
        <v>1290</v>
      </c>
      <c r="D880" s="1" t="s">
        <v>201</v>
      </c>
      <c r="E880">
        <v>7</v>
      </c>
      <c r="F880">
        <v>53.74</v>
      </c>
      <c r="G880">
        <v>376.18</v>
      </c>
      <c r="H880">
        <v>112.854</v>
      </c>
      <c r="I880" s="1" t="s">
        <v>15</v>
      </c>
      <c r="J880">
        <v>21</v>
      </c>
      <c r="K880" s="1" t="s">
        <v>1491</v>
      </c>
      <c r="L880">
        <v>2024</v>
      </c>
    </row>
    <row r="881" spans="1:12" x14ac:dyDescent="0.3">
      <c r="A881" s="1" t="s">
        <v>1340</v>
      </c>
      <c r="B881" s="4">
        <v>45874</v>
      </c>
      <c r="C881" s="1" t="s">
        <v>711</v>
      </c>
      <c r="D881" s="1" t="s">
        <v>156</v>
      </c>
      <c r="E881">
        <v>6</v>
      </c>
      <c r="F881">
        <v>182.55</v>
      </c>
      <c r="G881">
        <v>1095.3</v>
      </c>
      <c r="H881">
        <v>328.59</v>
      </c>
      <c r="I881" s="1" t="s">
        <v>19</v>
      </c>
      <c r="J881">
        <v>5</v>
      </c>
      <c r="K881" s="1" t="s">
        <v>1499</v>
      </c>
      <c r="L881">
        <v>2025</v>
      </c>
    </row>
    <row r="882" spans="1:12" x14ac:dyDescent="0.3">
      <c r="A882" s="1" t="s">
        <v>1341</v>
      </c>
      <c r="B882" s="4">
        <v>45464</v>
      </c>
      <c r="C882" s="1" t="s">
        <v>1156</v>
      </c>
      <c r="D882" s="1" t="s">
        <v>57</v>
      </c>
      <c r="E882">
        <v>6</v>
      </c>
      <c r="F882">
        <v>38.93</v>
      </c>
      <c r="G882">
        <v>233.58</v>
      </c>
      <c r="H882">
        <v>70.073999999999998</v>
      </c>
      <c r="I882" s="1" t="s">
        <v>11</v>
      </c>
      <c r="J882">
        <v>21</v>
      </c>
      <c r="K882" s="1" t="s">
        <v>1497</v>
      </c>
      <c r="L882">
        <v>2024</v>
      </c>
    </row>
    <row r="883" spans="1:12" x14ac:dyDescent="0.3">
      <c r="A883" s="1" t="s">
        <v>1342</v>
      </c>
      <c r="B883" s="4">
        <v>45605</v>
      </c>
      <c r="C883" s="1" t="s">
        <v>71</v>
      </c>
      <c r="D883" s="1" t="s">
        <v>24</v>
      </c>
      <c r="E883">
        <v>6</v>
      </c>
      <c r="F883">
        <v>134.32</v>
      </c>
      <c r="G883">
        <v>805.92</v>
      </c>
      <c r="H883">
        <v>241.77599999999998</v>
      </c>
      <c r="I883" s="1" t="s">
        <v>15</v>
      </c>
      <c r="J883">
        <v>9</v>
      </c>
      <c r="K883" s="1" t="s">
        <v>1500</v>
      </c>
      <c r="L883">
        <v>2024</v>
      </c>
    </row>
    <row r="884" spans="1:12" x14ac:dyDescent="0.3">
      <c r="A884" s="1" t="s">
        <v>1343</v>
      </c>
      <c r="B884" s="4">
        <v>45811</v>
      </c>
      <c r="C884" s="1" t="s">
        <v>1344</v>
      </c>
      <c r="D884" s="1" t="s">
        <v>145</v>
      </c>
      <c r="E884">
        <v>9</v>
      </c>
      <c r="F884">
        <v>180.47</v>
      </c>
      <c r="G884">
        <v>1624.23</v>
      </c>
      <c r="H884">
        <v>487.26900000000001</v>
      </c>
      <c r="I884" s="1" t="s">
        <v>15</v>
      </c>
      <c r="J884">
        <v>3</v>
      </c>
      <c r="K884" s="1" t="s">
        <v>1497</v>
      </c>
      <c r="L884">
        <v>2025</v>
      </c>
    </row>
    <row r="885" spans="1:12" x14ac:dyDescent="0.3">
      <c r="A885" s="1" t="s">
        <v>1345</v>
      </c>
      <c r="B885" s="4">
        <v>46012</v>
      </c>
      <c r="C885" s="1" t="s">
        <v>1346</v>
      </c>
      <c r="D885" s="1" t="s">
        <v>18</v>
      </c>
      <c r="E885">
        <v>8</v>
      </c>
      <c r="F885">
        <v>185.22</v>
      </c>
      <c r="G885">
        <v>1481.76</v>
      </c>
      <c r="H885">
        <v>444.52799999999996</v>
      </c>
      <c r="I885" s="1" t="s">
        <v>11</v>
      </c>
      <c r="J885">
        <v>21</v>
      </c>
      <c r="K885" s="1" t="s">
        <v>1495</v>
      </c>
      <c r="L885">
        <v>2025</v>
      </c>
    </row>
    <row r="886" spans="1:12" x14ac:dyDescent="0.3">
      <c r="A886" s="1" t="s">
        <v>1347</v>
      </c>
      <c r="B886" s="4">
        <v>45316</v>
      </c>
      <c r="C886" s="1" t="s">
        <v>412</v>
      </c>
      <c r="D886" s="1" t="s">
        <v>156</v>
      </c>
      <c r="E886">
        <v>7</v>
      </c>
      <c r="F886">
        <v>182.55</v>
      </c>
      <c r="G886">
        <v>1277.8499999999999</v>
      </c>
      <c r="H886">
        <v>383.35499999999996</v>
      </c>
      <c r="I886" s="1" t="s">
        <v>19</v>
      </c>
      <c r="J886">
        <v>25</v>
      </c>
      <c r="K886" s="1" t="s">
        <v>1493</v>
      </c>
      <c r="L886">
        <v>2024</v>
      </c>
    </row>
    <row r="887" spans="1:12" x14ac:dyDescent="0.3">
      <c r="A887" s="1" t="s">
        <v>1348</v>
      </c>
      <c r="B887" s="4">
        <v>45872</v>
      </c>
      <c r="C887" s="1" t="s">
        <v>649</v>
      </c>
      <c r="D887" s="1" t="s">
        <v>244</v>
      </c>
      <c r="E887">
        <v>4</v>
      </c>
      <c r="F887">
        <v>193.35</v>
      </c>
      <c r="G887">
        <v>773.4</v>
      </c>
      <c r="H887">
        <v>232.01999999999998</v>
      </c>
      <c r="I887" s="1" t="s">
        <v>15</v>
      </c>
      <c r="J887">
        <v>3</v>
      </c>
      <c r="K887" s="1" t="s">
        <v>1499</v>
      </c>
      <c r="L887">
        <v>2025</v>
      </c>
    </row>
    <row r="888" spans="1:12" x14ac:dyDescent="0.3">
      <c r="A888" s="1" t="s">
        <v>1349</v>
      </c>
      <c r="B888" s="4">
        <v>45949</v>
      </c>
      <c r="C888" s="1" t="s">
        <v>530</v>
      </c>
      <c r="D888" s="1" t="s">
        <v>156</v>
      </c>
      <c r="E888">
        <v>10</v>
      </c>
      <c r="F888">
        <v>182.55</v>
      </c>
      <c r="G888">
        <v>1825.5</v>
      </c>
      <c r="H888">
        <v>547.65</v>
      </c>
      <c r="I888" s="1" t="s">
        <v>19</v>
      </c>
      <c r="J888">
        <v>19</v>
      </c>
      <c r="K888" s="1" t="s">
        <v>1490</v>
      </c>
      <c r="L888">
        <v>2025</v>
      </c>
    </row>
    <row r="889" spans="1:12" x14ac:dyDescent="0.3">
      <c r="A889" s="1" t="s">
        <v>1350</v>
      </c>
      <c r="B889" s="4">
        <v>45292</v>
      </c>
      <c r="C889" s="1" t="s">
        <v>660</v>
      </c>
      <c r="D889" s="1" t="s">
        <v>14</v>
      </c>
      <c r="E889">
        <v>6</v>
      </c>
      <c r="F889">
        <v>86.37</v>
      </c>
      <c r="G889">
        <v>518.22</v>
      </c>
      <c r="H889">
        <v>155.46600000000001</v>
      </c>
      <c r="I889" s="1" t="s">
        <v>19</v>
      </c>
      <c r="J889">
        <v>1</v>
      </c>
      <c r="K889" s="1" t="s">
        <v>1493</v>
      </c>
      <c r="L889">
        <v>2024</v>
      </c>
    </row>
    <row r="890" spans="1:12" x14ac:dyDescent="0.3">
      <c r="A890" s="1" t="s">
        <v>1351</v>
      </c>
      <c r="B890" s="4">
        <v>45443</v>
      </c>
      <c r="C890" s="1" t="s">
        <v>425</v>
      </c>
      <c r="D890" s="1" t="s">
        <v>39</v>
      </c>
      <c r="E890">
        <v>3</v>
      </c>
      <c r="F890">
        <v>18.850000000000001</v>
      </c>
      <c r="G890">
        <v>56.55</v>
      </c>
      <c r="H890">
        <v>16.965</v>
      </c>
      <c r="I890" s="1" t="s">
        <v>15</v>
      </c>
      <c r="J890">
        <v>31</v>
      </c>
      <c r="K890" s="1" t="s">
        <v>1492</v>
      </c>
      <c r="L890">
        <v>2024</v>
      </c>
    </row>
    <row r="891" spans="1:12" x14ac:dyDescent="0.3">
      <c r="A891" s="1" t="s">
        <v>1352</v>
      </c>
      <c r="B891" s="4">
        <v>45631</v>
      </c>
      <c r="C891" s="1" t="s">
        <v>817</v>
      </c>
      <c r="D891" s="1" t="s">
        <v>14</v>
      </c>
      <c r="E891">
        <v>9</v>
      </c>
      <c r="F891">
        <v>86.37</v>
      </c>
      <c r="G891">
        <v>777.33</v>
      </c>
      <c r="H891">
        <v>233.19900000000001</v>
      </c>
      <c r="I891" s="1" t="s">
        <v>11</v>
      </c>
      <c r="J891">
        <v>5</v>
      </c>
      <c r="K891" s="1" t="s">
        <v>1495</v>
      </c>
      <c r="L891">
        <v>2024</v>
      </c>
    </row>
    <row r="892" spans="1:12" x14ac:dyDescent="0.3">
      <c r="A892" s="1" t="s">
        <v>1353</v>
      </c>
      <c r="B892" s="4">
        <v>45687</v>
      </c>
      <c r="C892" s="1" t="s">
        <v>41</v>
      </c>
      <c r="D892" s="1" t="s">
        <v>114</v>
      </c>
      <c r="E892">
        <v>4</v>
      </c>
      <c r="F892">
        <v>195.89</v>
      </c>
      <c r="G892">
        <v>783.56</v>
      </c>
      <c r="H892">
        <v>235.06799999999998</v>
      </c>
      <c r="I892" s="1" t="s">
        <v>36</v>
      </c>
      <c r="J892">
        <v>30</v>
      </c>
      <c r="K892" s="1" t="s">
        <v>1493</v>
      </c>
      <c r="L892">
        <v>2025</v>
      </c>
    </row>
    <row r="893" spans="1:12" x14ac:dyDescent="0.3">
      <c r="A893" s="1" t="s">
        <v>1354</v>
      </c>
      <c r="B893" s="4">
        <v>45729</v>
      </c>
      <c r="C893" s="1" t="s">
        <v>56</v>
      </c>
      <c r="D893" s="1" t="s">
        <v>33</v>
      </c>
      <c r="E893">
        <v>7</v>
      </c>
      <c r="F893">
        <v>78.92</v>
      </c>
      <c r="G893">
        <v>552.44000000000005</v>
      </c>
      <c r="H893">
        <v>165.732</v>
      </c>
      <c r="I893" s="1" t="s">
        <v>36</v>
      </c>
      <c r="J893">
        <v>13</v>
      </c>
      <c r="K893" s="1" t="s">
        <v>1491</v>
      </c>
      <c r="L893">
        <v>2025</v>
      </c>
    </row>
    <row r="894" spans="1:12" x14ac:dyDescent="0.3">
      <c r="A894" s="1" t="s">
        <v>1355</v>
      </c>
      <c r="B894" s="4">
        <v>45663</v>
      </c>
      <c r="C894" s="1" t="s">
        <v>50</v>
      </c>
      <c r="D894" s="1" t="s">
        <v>148</v>
      </c>
      <c r="E894">
        <v>9</v>
      </c>
      <c r="F894">
        <v>118.95</v>
      </c>
      <c r="G894">
        <v>1070.55</v>
      </c>
      <c r="H894">
        <v>321.16499999999996</v>
      </c>
      <c r="I894" s="1" t="s">
        <v>11</v>
      </c>
      <c r="J894">
        <v>6</v>
      </c>
      <c r="K894" s="1" t="s">
        <v>1493</v>
      </c>
      <c r="L894">
        <v>2025</v>
      </c>
    </row>
    <row r="895" spans="1:12" x14ac:dyDescent="0.3">
      <c r="A895" s="1" t="s">
        <v>1356</v>
      </c>
      <c r="B895" s="4">
        <v>45992</v>
      </c>
      <c r="C895" s="1" t="s">
        <v>32</v>
      </c>
      <c r="D895" s="1" t="s">
        <v>239</v>
      </c>
      <c r="E895">
        <v>4</v>
      </c>
      <c r="F895">
        <v>103.45</v>
      </c>
      <c r="G895">
        <v>413.8</v>
      </c>
      <c r="H895">
        <v>124.14</v>
      </c>
      <c r="I895" s="1" t="s">
        <v>11</v>
      </c>
      <c r="J895">
        <v>1</v>
      </c>
      <c r="K895" s="1" t="s">
        <v>1495</v>
      </c>
      <c r="L895">
        <v>2025</v>
      </c>
    </row>
    <row r="896" spans="1:12" x14ac:dyDescent="0.3">
      <c r="A896" s="1" t="s">
        <v>1357</v>
      </c>
      <c r="B896" s="4">
        <v>45695</v>
      </c>
      <c r="C896" s="1" t="s">
        <v>490</v>
      </c>
      <c r="D896" s="1" t="s">
        <v>33</v>
      </c>
      <c r="E896">
        <v>5</v>
      </c>
      <c r="F896">
        <v>78.92</v>
      </c>
      <c r="G896">
        <v>394.6</v>
      </c>
      <c r="H896">
        <v>118.38</v>
      </c>
      <c r="I896" s="1" t="s">
        <v>11</v>
      </c>
      <c r="J896">
        <v>7</v>
      </c>
      <c r="K896" s="1" t="s">
        <v>1494</v>
      </c>
      <c r="L896">
        <v>2025</v>
      </c>
    </row>
    <row r="897" spans="1:12" x14ac:dyDescent="0.3">
      <c r="A897" s="1" t="s">
        <v>1358</v>
      </c>
      <c r="B897" s="4">
        <v>45618</v>
      </c>
      <c r="C897" s="1" t="s">
        <v>1359</v>
      </c>
      <c r="D897" s="1" t="s">
        <v>221</v>
      </c>
      <c r="E897">
        <v>2</v>
      </c>
      <c r="F897">
        <v>108.19</v>
      </c>
      <c r="G897">
        <v>216.38</v>
      </c>
      <c r="H897">
        <v>64.914000000000001</v>
      </c>
      <c r="I897" s="1" t="s">
        <v>36</v>
      </c>
      <c r="J897">
        <v>22</v>
      </c>
      <c r="K897" s="1" t="s">
        <v>1500</v>
      </c>
      <c r="L897">
        <v>2024</v>
      </c>
    </row>
    <row r="898" spans="1:12" x14ac:dyDescent="0.3">
      <c r="A898" s="1" t="s">
        <v>1360</v>
      </c>
      <c r="B898" s="4">
        <v>45760</v>
      </c>
      <c r="C898" s="1" t="s">
        <v>1361</v>
      </c>
      <c r="D898" s="1" t="s">
        <v>246</v>
      </c>
      <c r="E898">
        <v>6</v>
      </c>
      <c r="F898">
        <v>17.22</v>
      </c>
      <c r="G898">
        <v>103.32</v>
      </c>
      <c r="H898">
        <v>30.995999999999995</v>
      </c>
      <c r="I898" s="1" t="s">
        <v>19</v>
      </c>
      <c r="J898">
        <v>13</v>
      </c>
      <c r="K898" s="1" t="s">
        <v>1496</v>
      </c>
      <c r="L898">
        <v>2025</v>
      </c>
    </row>
    <row r="899" spans="1:12" x14ac:dyDescent="0.3">
      <c r="A899" s="1" t="s">
        <v>1362</v>
      </c>
      <c r="B899" s="4">
        <v>45567</v>
      </c>
      <c r="C899" s="1" t="s">
        <v>322</v>
      </c>
      <c r="D899" s="1" t="s">
        <v>165</v>
      </c>
      <c r="E899">
        <v>4</v>
      </c>
      <c r="F899">
        <v>29.47</v>
      </c>
      <c r="G899">
        <v>117.88</v>
      </c>
      <c r="H899">
        <v>35.363999999999997</v>
      </c>
      <c r="I899" s="1" t="s">
        <v>19</v>
      </c>
      <c r="J899">
        <v>2</v>
      </c>
      <c r="K899" s="1" t="s">
        <v>1490</v>
      </c>
      <c r="L899">
        <v>2024</v>
      </c>
    </row>
    <row r="900" spans="1:12" x14ac:dyDescent="0.3">
      <c r="A900" s="1" t="s">
        <v>1363</v>
      </c>
      <c r="B900" s="4">
        <v>45443</v>
      </c>
      <c r="C900" s="1" t="s">
        <v>1364</v>
      </c>
      <c r="D900" s="1" t="s">
        <v>123</v>
      </c>
      <c r="E900">
        <v>1</v>
      </c>
      <c r="F900">
        <v>20.28</v>
      </c>
      <c r="G900">
        <v>20.28</v>
      </c>
      <c r="H900">
        <v>6.0840000000000005</v>
      </c>
      <c r="I900" s="1" t="s">
        <v>36</v>
      </c>
      <c r="J900">
        <v>31</v>
      </c>
      <c r="K900" s="1" t="s">
        <v>1492</v>
      </c>
      <c r="L900">
        <v>2024</v>
      </c>
    </row>
    <row r="901" spans="1:12" x14ac:dyDescent="0.3">
      <c r="A901" s="1" t="s">
        <v>1365</v>
      </c>
      <c r="B901" s="4">
        <v>45876</v>
      </c>
      <c r="C901" s="1" t="s">
        <v>1366</v>
      </c>
      <c r="D901" s="1" t="s">
        <v>193</v>
      </c>
      <c r="E901">
        <v>2</v>
      </c>
      <c r="F901">
        <v>157.13</v>
      </c>
      <c r="G901">
        <v>314.26</v>
      </c>
      <c r="H901">
        <v>94.277999999999992</v>
      </c>
      <c r="I901" s="1" t="s">
        <v>15</v>
      </c>
      <c r="J901">
        <v>7</v>
      </c>
      <c r="K901" s="1" t="s">
        <v>1499</v>
      </c>
      <c r="L901">
        <v>2025</v>
      </c>
    </row>
    <row r="902" spans="1:12" x14ac:dyDescent="0.3">
      <c r="A902" s="1" t="s">
        <v>1367</v>
      </c>
      <c r="B902" s="4">
        <v>45404</v>
      </c>
      <c r="C902" s="1" t="s">
        <v>744</v>
      </c>
      <c r="D902" s="1" t="s">
        <v>277</v>
      </c>
      <c r="E902">
        <v>6</v>
      </c>
      <c r="F902">
        <v>56.18</v>
      </c>
      <c r="G902">
        <v>337.08</v>
      </c>
      <c r="H902">
        <v>101.124</v>
      </c>
      <c r="I902" s="1" t="s">
        <v>36</v>
      </c>
      <c r="J902">
        <v>22</v>
      </c>
      <c r="K902" s="1" t="s">
        <v>1496</v>
      </c>
      <c r="L902">
        <v>2024</v>
      </c>
    </row>
    <row r="903" spans="1:12" x14ac:dyDescent="0.3">
      <c r="A903" s="1" t="s">
        <v>1368</v>
      </c>
      <c r="B903" s="4">
        <v>45740</v>
      </c>
      <c r="C903" s="1" t="s">
        <v>1179</v>
      </c>
      <c r="D903" s="1" t="s">
        <v>148</v>
      </c>
      <c r="E903">
        <v>9</v>
      </c>
      <c r="F903">
        <v>118.95</v>
      </c>
      <c r="G903">
        <v>1070.55</v>
      </c>
      <c r="H903">
        <v>321.16499999999996</v>
      </c>
      <c r="I903" s="1" t="s">
        <v>19</v>
      </c>
      <c r="J903">
        <v>24</v>
      </c>
      <c r="K903" s="1" t="s">
        <v>1491</v>
      </c>
      <c r="L903">
        <v>2025</v>
      </c>
    </row>
    <row r="904" spans="1:12" x14ac:dyDescent="0.3">
      <c r="A904" s="1" t="s">
        <v>1369</v>
      </c>
      <c r="B904" s="4">
        <v>46019</v>
      </c>
      <c r="C904" s="1" t="s">
        <v>554</v>
      </c>
      <c r="D904" s="1" t="s">
        <v>183</v>
      </c>
      <c r="E904">
        <v>8</v>
      </c>
      <c r="F904">
        <v>12.47</v>
      </c>
      <c r="G904">
        <v>99.76</v>
      </c>
      <c r="H904">
        <v>29.928000000000001</v>
      </c>
      <c r="I904" s="1" t="s">
        <v>19</v>
      </c>
      <c r="J904">
        <v>28</v>
      </c>
      <c r="K904" s="1" t="s">
        <v>1495</v>
      </c>
      <c r="L904">
        <v>2025</v>
      </c>
    </row>
    <row r="905" spans="1:12" x14ac:dyDescent="0.3">
      <c r="A905" s="1" t="s">
        <v>1370</v>
      </c>
      <c r="B905" s="4">
        <v>45994</v>
      </c>
      <c r="C905" s="1" t="s">
        <v>398</v>
      </c>
      <c r="D905" s="1" t="s">
        <v>67</v>
      </c>
      <c r="E905">
        <v>4</v>
      </c>
      <c r="F905">
        <v>29.94</v>
      </c>
      <c r="G905">
        <v>119.76</v>
      </c>
      <c r="H905">
        <v>35.927999999999997</v>
      </c>
      <c r="I905" s="1" t="s">
        <v>36</v>
      </c>
      <c r="J905">
        <v>3</v>
      </c>
      <c r="K905" s="1" t="s">
        <v>1495</v>
      </c>
      <c r="L905">
        <v>2025</v>
      </c>
    </row>
    <row r="906" spans="1:12" x14ac:dyDescent="0.3">
      <c r="A906" s="1" t="s">
        <v>1371</v>
      </c>
      <c r="B906" s="4">
        <v>45822</v>
      </c>
      <c r="C906" s="1" t="s">
        <v>751</v>
      </c>
      <c r="D906" s="1" t="s">
        <v>60</v>
      </c>
      <c r="E906">
        <v>2</v>
      </c>
      <c r="F906">
        <v>107.88</v>
      </c>
      <c r="G906">
        <v>215.76</v>
      </c>
      <c r="H906">
        <v>64.727999999999994</v>
      </c>
      <c r="I906" s="1" t="s">
        <v>15</v>
      </c>
      <c r="J906">
        <v>14</v>
      </c>
      <c r="K906" s="1" t="s">
        <v>1497</v>
      </c>
      <c r="L906">
        <v>2025</v>
      </c>
    </row>
    <row r="907" spans="1:12" x14ac:dyDescent="0.3">
      <c r="A907" s="1" t="s">
        <v>1372</v>
      </c>
      <c r="B907" s="4">
        <v>45884</v>
      </c>
      <c r="C907" s="1" t="s">
        <v>96</v>
      </c>
      <c r="D907" s="1" t="s">
        <v>256</v>
      </c>
      <c r="E907">
        <v>10</v>
      </c>
      <c r="F907">
        <v>58.12</v>
      </c>
      <c r="G907">
        <v>581.20000000000005</v>
      </c>
      <c r="H907">
        <v>174.36</v>
      </c>
      <c r="I907" s="1" t="s">
        <v>15</v>
      </c>
      <c r="J907">
        <v>15</v>
      </c>
      <c r="K907" s="1" t="s">
        <v>1499</v>
      </c>
      <c r="L907">
        <v>2025</v>
      </c>
    </row>
    <row r="908" spans="1:12" x14ac:dyDescent="0.3">
      <c r="A908" s="1" t="s">
        <v>1373</v>
      </c>
      <c r="B908" s="4">
        <v>45684</v>
      </c>
      <c r="C908" s="1" t="s">
        <v>662</v>
      </c>
      <c r="D908" s="1" t="s">
        <v>80</v>
      </c>
      <c r="E908">
        <v>5</v>
      </c>
      <c r="F908">
        <v>48.76</v>
      </c>
      <c r="G908">
        <v>243.8</v>
      </c>
      <c r="H908">
        <v>73.14</v>
      </c>
      <c r="I908" s="1" t="s">
        <v>11</v>
      </c>
      <c r="J908">
        <v>27</v>
      </c>
      <c r="K908" s="1" t="s">
        <v>1493</v>
      </c>
      <c r="L908">
        <v>2025</v>
      </c>
    </row>
    <row r="909" spans="1:12" x14ac:dyDescent="0.3">
      <c r="A909" s="1" t="s">
        <v>1374</v>
      </c>
      <c r="B909" s="4">
        <v>45400</v>
      </c>
      <c r="C909" s="1" t="s">
        <v>272</v>
      </c>
      <c r="D909" s="1" t="s">
        <v>99</v>
      </c>
      <c r="E909">
        <v>9</v>
      </c>
      <c r="F909">
        <v>162.96</v>
      </c>
      <c r="G909">
        <v>1466.64</v>
      </c>
      <c r="H909">
        <v>439.99200000000002</v>
      </c>
      <c r="I909" s="1" t="s">
        <v>15</v>
      </c>
      <c r="J909">
        <v>18</v>
      </c>
      <c r="K909" s="1" t="s">
        <v>1496</v>
      </c>
      <c r="L909">
        <v>2024</v>
      </c>
    </row>
    <row r="910" spans="1:12" x14ac:dyDescent="0.3">
      <c r="A910" s="1" t="s">
        <v>1375</v>
      </c>
      <c r="B910" s="4">
        <v>45552</v>
      </c>
      <c r="C910" s="1" t="s">
        <v>158</v>
      </c>
      <c r="D910" s="1" t="s">
        <v>72</v>
      </c>
      <c r="E910">
        <v>7</v>
      </c>
      <c r="F910">
        <v>134.61000000000001</v>
      </c>
      <c r="G910">
        <v>942.27</v>
      </c>
      <c r="H910">
        <v>282.68099999999998</v>
      </c>
      <c r="I910" s="1" t="s">
        <v>19</v>
      </c>
      <c r="J910">
        <v>17</v>
      </c>
      <c r="K910" s="1" t="s">
        <v>1501</v>
      </c>
      <c r="L910">
        <v>2024</v>
      </c>
    </row>
    <row r="911" spans="1:12" x14ac:dyDescent="0.3">
      <c r="A911" s="1" t="s">
        <v>1376</v>
      </c>
      <c r="B911" s="4">
        <v>45924</v>
      </c>
      <c r="C911" s="1" t="s">
        <v>225</v>
      </c>
      <c r="D911" s="1" t="s">
        <v>88</v>
      </c>
      <c r="E911">
        <v>9</v>
      </c>
      <c r="F911">
        <v>162.21</v>
      </c>
      <c r="G911">
        <v>1459.89</v>
      </c>
      <c r="H911">
        <v>437.96700000000004</v>
      </c>
      <c r="I911" s="1" t="s">
        <v>15</v>
      </c>
      <c r="J911">
        <v>24</v>
      </c>
      <c r="K911" s="1" t="s">
        <v>1501</v>
      </c>
      <c r="L911">
        <v>2025</v>
      </c>
    </row>
    <row r="912" spans="1:12" x14ac:dyDescent="0.3">
      <c r="A912" s="1" t="s">
        <v>1377</v>
      </c>
      <c r="B912" s="4">
        <v>45808</v>
      </c>
      <c r="C912" s="1" t="s">
        <v>966</v>
      </c>
      <c r="D912" s="1" t="s">
        <v>132</v>
      </c>
      <c r="E912">
        <v>2</v>
      </c>
      <c r="F912">
        <v>52.45</v>
      </c>
      <c r="G912">
        <v>104.9</v>
      </c>
      <c r="H912">
        <v>31.47</v>
      </c>
      <c r="I912" s="1" t="s">
        <v>15</v>
      </c>
      <c r="J912">
        <v>31</v>
      </c>
      <c r="K912" s="1" t="s">
        <v>1492</v>
      </c>
      <c r="L912">
        <v>2025</v>
      </c>
    </row>
    <row r="913" spans="1:12" x14ac:dyDescent="0.3">
      <c r="A913" s="1" t="s">
        <v>1378</v>
      </c>
      <c r="B913" s="4">
        <v>45893</v>
      </c>
      <c r="C913" s="1" t="s">
        <v>1326</v>
      </c>
      <c r="D913" s="1" t="s">
        <v>30</v>
      </c>
      <c r="E913">
        <v>7</v>
      </c>
      <c r="F913">
        <v>74.61</v>
      </c>
      <c r="G913">
        <v>522.27</v>
      </c>
      <c r="H913">
        <v>156.68099999999998</v>
      </c>
      <c r="I913" s="1" t="s">
        <v>19</v>
      </c>
      <c r="J913">
        <v>24</v>
      </c>
      <c r="K913" s="1" t="s">
        <v>1499</v>
      </c>
      <c r="L913">
        <v>2025</v>
      </c>
    </row>
    <row r="914" spans="1:12" x14ac:dyDescent="0.3">
      <c r="A914" s="1" t="s">
        <v>1379</v>
      </c>
      <c r="B914" s="4">
        <v>45422</v>
      </c>
      <c r="C914" s="1" t="s">
        <v>510</v>
      </c>
      <c r="D914" s="1" t="s">
        <v>132</v>
      </c>
      <c r="E914">
        <v>6</v>
      </c>
      <c r="F914">
        <v>52.45</v>
      </c>
      <c r="G914">
        <v>314.7</v>
      </c>
      <c r="H914">
        <v>94.41</v>
      </c>
      <c r="I914" s="1" t="s">
        <v>15</v>
      </c>
      <c r="J914">
        <v>10</v>
      </c>
      <c r="K914" s="1" t="s">
        <v>1492</v>
      </c>
      <c r="L914">
        <v>2024</v>
      </c>
    </row>
    <row r="915" spans="1:12" x14ac:dyDescent="0.3">
      <c r="A915" s="1" t="s">
        <v>1380</v>
      </c>
      <c r="B915" s="4">
        <v>45874</v>
      </c>
      <c r="C915" s="1" t="s">
        <v>1381</v>
      </c>
      <c r="D915" s="1" t="s">
        <v>176</v>
      </c>
      <c r="E915">
        <v>3</v>
      </c>
      <c r="F915">
        <v>68.41</v>
      </c>
      <c r="G915">
        <v>205.23</v>
      </c>
      <c r="H915">
        <v>61.568999999999996</v>
      </c>
      <c r="I915" s="1" t="s">
        <v>36</v>
      </c>
      <c r="J915">
        <v>5</v>
      </c>
      <c r="K915" s="1" t="s">
        <v>1499</v>
      </c>
      <c r="L915">
        <v>2025</v>
      </c>
    </row>
    <row r="916" spans="1:12" x14ac:dyDescent="0.3">
      <c r="A916" s="1" t="s">
        <v>1382</v>
      </c>
      <c r="B916" s="4">
        <v>45708</v>
      </c>
      <c r="C916" s="1" t="s">
        <v>1326</v>
      </c>
      <c r="D916" s="1" t="s">
        <v>261</v>
      </c>
      <c r="E916">
        <v>7</v>
      </c>
      <c r="F916">
        <v>176.31</v>
      </c>
      <c r="G916">
        <v>1234.17</v>
      </c>
      <c r="H916">
        <v>370.25100000000003</v>
      </c>
      <c r="I916" s="1" t="s">
        <v>15</v>
      </c>
      <c r="J916">
        <v>20</v>
      </c>
      <c r="K916" s="1" t="s">
        <v>1494</v>
      </c>
      <c r="L916">
        <v>2025</v>
      </c>
    </row>
    <row r="917" spans="1:12" x14ac:dyDescent="0.3">
      <c r="A917" s="1" t="s">
        <v>1383</v>
      </c>
      <c r="B917" s="4">
        <v>45386</v>
      </c>
      <c r="C917" s="1" t="s">
        <v>579</v>
      </c>
      <c r="D917" s="1" t="s">
        <v>327</v>
      </c>
      <c r="E917">
        <v>6</v>
      </c>
      <c r="F917">
        <v>89.24</v>
      </c>
      <c r="G917">
        <v>535.44000000000005</v>
      </c>
      <c r="H917">
        <v>160.63200000000001</v>
      </c>
      <c r="I917" s="1" t="s">
        <v>19</v>
      </c>
      <c r="J917">
        <v>4</v>
      </c>
      <c r="K917" s="1" t="s">
        <v>1496</v>
      </c>
      <c r="L917">
        <v>2024</v>
      </c>
    </row>
    <row r="918" spans="1:12" x14ac:dyDescent="0.3">
      <c r="A918" s="1" t="s">
        <v>1384</v>
      </c>
      <c r="B918" s="4">
        <v>45916</v>
      </c>
      <c r="C918" s="1" t="s">
        <v>1385</v>
      </c>
      <c r="D918" s="1" t="s">
        <v>75</v>
      </c>
      <c r="E918">
        <v>9</v>
      </c>
      <c r="F918">
        <v>49.95</v>
      </c>
      <c r="G918">
        <v>449.55</v>
      </c>
      <c r="H918">
        <v>134.86500000000001</v>
      </c>
      <c r="I918" s="1" t="s">
        <v>15</v>
      </c>
      <c r="J918">
        <v>16</v>
      </c>
      <c r="K918" s="1" t="s">
        <v>1501</v>
      </c>
      <c r="L918">
        <v>2025</v>
      </c>
    </row>
    <row r="919" spans="1:12" x14ac:dyDescent="0.3">
      <c r="A919" s="1" t="s">
        <v>1386</v>
      </c>
      <c r="B919" s="4">
        <v>45533</v>
      </c>
      <c r="C919" s="1" t="s">
        <v>794</v>
      </c>
      <c r="D919" s="1" t="s">
        <v>54</v>
      </c>
      <c r="E919">
        <v>10</v>
      </c>
      <c r="F919">
        <v>28.55</v>
      </c>
      <c r="G919">
        <v>285.5</v>
      </c>
      <c r="H919">
        <v>85.649999999999991</v>
      </c>
      <c r="I919" s="1" t="s">
        <v>36</v>
      </c>
      <c r="J919">
        <v>29</v>
      </c>
      <c r="K919" s="1" t="s">
        <v>1499</v>
      </c>
      <c r="L919">
        <v>2024</v>
      </c>
    </row>
    <row r="920" spans="1:12" x14ac:dyDescent="0.3">
      <c r="A920" s="1" t="s">
        <v>1387</v>
      </c>
      <c r="B920" s="4">
        <v>45411</v>
      </c>
      <c r="C920" s="1" t="s">
        <v>1388</v>
      </c>
      <c r="D920" s="1" t="s">
        <v>193</v>
      </c>
      <c r="E920">
        <v>5</v>
      </c>
      <c r="F920">
        <v>157.13</v>
      </c>
      <c r="G920">
        <v>785.65</v>
      </c>
      <c r="H920">
        <v>235.69499999999999</v>
      </c>
      <c r="I920" s="1" t="s">
        <v>19</v>
      </c>
      <c r="J920">
        <v>29</v>
      </c>
      <c r="K920" s="1" t="s">
        <v>1496</v>
      </c>
      <c r="L920">
        <v>2024</v>
      </c>
    </row>
    <row r="921" spans="1:12" x14ac:dyDescent="0.3">
      <c r="A921" s="1" t="s">
        <v>1389</v>
      </c>
      <c r="B921" s="4">
        <v>45372</v>
      </c>
      <c r="C921" s="1" t="s">
        <v>612</v>
      </c>
      <c r="D921" s="1" t="s">
        <v>145</v>
      </c>
      <c r="E921">
        <v>10</v>
      </c>
      <c r="F921">
        <v>180.47</v>
      </c>
      <c r="G921">
        <v>1804.7</v>
      </c>
      <c r="H921">
        <v>541.41</v>
      </c>
      <c r="I921" s="1" t="s">
        <v>15</v>
      </c>
      <c r="J921">
        <v>21</v>
      </c>
      <c r="K921" s="1" t="s">
        <v>1491</v>
      </c>
      <c r="L921">
        <v>2024</v>
      </c>
    </row>
    <row r="922" spans="1:12" x14ac:dyDescent="0.3">
      <c r="A922" s="1" t="s">
        <v>1390</v>
      </c>
      <c r="B922" s="4">
        <v>45938</v>
      </c>
      <c r="C922" s="1" t="s">
        <v>394</v>
      </c>
      <c r="D922" s="1" t="s">
        <v>228</v>
      </c>
      <c r="E922">
        <v>5</v>
      </c>
      <c r="F922">
        <v>104.84</v>
      </c>
      <c r="G922">
        <v>524.20000000000005</v>
      </c>
      <c r="H922">
        <v>157.26000000000002</v>
      </c>
      <c r="I922" s="1" t="s">
        <v>15</v>
      </c>
      <c r="J922">
        <v>8</v>
      </c>
      <c r="K922" s="1" t="s">
        <v>1490</v>
      </c>
      <c r="L922">
        <v>2025</v>
      </c>
    </row>
    <row r="923" spans="1:12" x14ac:dyDescent="0.3">
      <c r="A923" s="1" t="s">
        <v>1391</v>
      </c>
      <c r="B923" s="4">
        <v>46013</v>
      </c>
      <c r="C923" s="1" t="s">
        <v>1392</v>
      </c>
      <c r="D923" s="1" t="s">
        <v>261</v>
      </c>
      <c r="E923">
        <v>10</v>
      </c>
      <c r="F923">
        <v>176.31</v>
      </c>
      <c r="G923">
        <v>1763.1</v>
      </c>
      <c r="H923">
        <v>528.92999999999995</v>
      </c>
      <c r="I923" s="1" t="s">
        <v>11</v>
      </c>
      <c r="J923">
        <v>22</v>
      </c>
      <c r="K923" s="1" t="s">
        <v>1495</v>
      </c>
      <c r="L923">
        <v>2025</v>
      </c>
    </row>
    <row r="924" spans="1:12" x14ac:dyDescent="0.3">
      <c r="A924" s="1" t="s">
        <v>1393</v>
      </c>
      <c r="B924" s="4">
        <v>45515</v>
      </c>
      <c r="C924" s="1" t="s">
        <v>640</v>
      </c>
      <c r="D924" s="1" t="s">
        <v>72</v>
      </c>
      <c r="E924">
        <v>7</v>
      </c>
      <c r="F924">
        <v>134.61000000000001</v>
      </c>
      <c r="G924">
        <v>942.27</v>
      </c>
      <c r="H924">
        <v>282.68099999999998</v>
      </c>
      <c r="I924" s="1" t="s">
        <v>15</v>
      </c>
      <c r="J924">
        <v>11</v>
      </c>
      <c r="K924" s="1" t="s">
        <v>1499</v>
      </c>
      <c r="L924">
        <v>2024</v>
      </c>
    </row>
    <row r="925" spans="1:12" x14ac:dyDescent="0.3">
      <c r="A925" s="1" t="s">
        <v>1394</v>
      </c>
      <c r="B925" s="4">
        <v>45784</v>
      </c>
      <c r="C925" s="1" t="s">
        <v>1395</v>
      </c>
      <c r="D925" s="1" t="s">
        <v>256</v>
      </c>
      <c r="E925">
        <v>2</v>
      </c>
      <c r="F925">
        <v>58.12</v>
      </c>
      <c r="G925">
        <v>116.24</v>
      </c>
      <c r="H925">
        <v>34.872</v>
      </c>
      <c r="I925" s="1" t="s">
        <v>11</v>
      </c>
      <c r="J925">
        <v>7</v>
      </c>
      <c r="K925" s="1" t="s">
        <v>1492</v>
      </c>
      <c r="L925">
        <v>2025</v>
      </c>
    </row>
    <row r="926" spans="1:12" x14ac:dyDescent="0.3">
      <c r="A926" s="1" t="s">
        <v>1396</v>
      </c>
      <c r="B926" s="4">
        <v>45754</v>
      </c>
      <c r="C926" s="1" t="s">
        <v>288</v>
      </c>
      <c r="D926" s="1" t="s">
        <v>102</v>
      </c>
      <c r="E926">
        <v>8</v>
      </c>
      <c r="F926">
        <v>41.45</v>
      </c>
      <c r="G926">
        <v>331.6</v>
      </c>
      <c r="H926">
        <v>99.48</v>
      </c>
      <c r="I926" s="1" t="s">
        <v>15</v>
      </c>
      <c r="J926">
        <v>7</v>
      </c>
      <c r="K926" s="1" t="s">
        <v>1496</v>
      </c>
      <c r="L926">
        <v>2025</v>
      </c>
    </row>
    <row r="927" spans="1:12" x14ac:dyDescent="0.3">
      <c r="A927" s="1" t="s">
        <v>1397</v>
      </c>
      <c r="B927" s="4">
        <v>45778</v>
      </c>
      <c r="C927" s="1" t="s">
        <v>675</v>
      </c>
      <c r="D927" s="1" t="s">
        <v>10</v>
      </c>
      <c r="E927">
        <v>1</v>
      </c>
      <c r="F927">
        <v>112.61</v>
      </c>
      <c r="G927">
        <v>112.61</v>
      </c>
      <c r="H927">
        <v>33.783000000000001</v>
      </c>
      <c r="I927" s="1" t="s">
        <v>19</v>
      </c>
      <c r="J927">
        <v>1</v>
      </c>
      <c r="K927" s="1" t="s">
        <v>1492</v>
      </c>
      <c r="L927">
        <v>2025</v>
      </c>
    </row>
    <row r="928" spans="1:12" x14ac:dyDescent="0.3">
      <c r="A928" s="1" t="s">
        <v>1398</v>
      </c>
      <c r="B928" s="4">
        <v>45554</v>
      </c>
      <c r="C928" s="1" t="s">
        <v>1156</v>
      </c>
      <c r="D928" s="1" t="s">
        <v>332</v>
      </c>
      <c r="E928">
        <v>10</v>
      </c>
      <c r="F928">
        <v>115.1</v>
      </c>
      <c r="G928">
        <v>1151</v>
      </c>
      <c r="H928">
        <v>345.3</v>
      </c>
      <c r="I928" s="1" t="s">
        <v>36</v>
      </c>
      <c r="J928">
        <v>19</v>
      </c>
      <c r="K928" s="1" t="s">
        <v>1501</v>
      </c>
      <c r="L928">
        <v>2024</v>
      </c>
    </row>
    <row r="929" spans="1:12" x14ac:dyDescent="0.3">
      <c r="A929" s="1" t="s">
        <v>1399</v>
      </c>
      <c r="B929" s="4">
        <v>45606</v>
      </c>
      <c r="C929" s="1" t="s">
        <v>1400</v>
      </c>
      <c r="D929" s="1" t="s">
        <v>123</v>
      </c>
      <c r="E929">
        <v>7</v>
      </c>
      <c r="F929">
        <v>20.28</v>
      </c>
      <c r="G929">
        <v>141.96</v>
      </c>
      <c r="H929">
        <v>42.588000000000001</v>
      </c>
      <c r="I929" s="1" t="s">
        <v>11</v>
      </c>
      <c r="J929">
        <v>10</v>
      </c>
      <c r="K929" s="1" t="s">
        <v>1500</v>
      </c>
      <c r="L929">
        <v>2024</v>
      </c>
    </row>
    <row r="930" spans="1:12" x14ac:dyDescent="0.3">
      <c r="A930" s="1" t="s">
        <v>1401</v>
      </c>
      <c r="B930" s="4">
        <v>45994</v>
      </c>
      <c r="C930" s="1" t="s">
        <v>1395</v>
      </c>
      <c r="D930" s="1" t="s">
        <v>80</v>
      </c>
      <c r="E930">
        <v>9</v>
      </c>
      <c r="F930">
        <v>48.76</v>
      </c>
      <c r="G930">
        <v>438.84</v>
      </c>
      <c r="H930">
        <v>131.65199999999999</v>
      </c>
      <c r="I930" s="1" t="s">
        <v>15</v>
      </c>
      <c r="J930">
        <v>3</v>
      </c>
      <c r="K930" s="1" t="s">
        <v>1495</v>
      </c>
      <c r="L930">
        <v>2025</v>
      </c>
    </row>
    <row r="931" spans="1:12" x14ac:dyDescent="0.3">
      <c r="A931" s="1" t="s">
        <v>1402</v>
      </c>
      <c r="B931" s="4">
        <v>45957</v>
      </c>
      <c r="C931" s="1" t="s">
        <v>1403</v>
      </c>
      <c r="D931" s="1" t="s">
        <v>221</v>
      </c>
      <c r="E931">
        <v>9</v>
      </c>
      <c r="F931">
        <v>108.19</v>
      </c>
      <c r="G931">
        <v>973.71</v>
      </c>
      <c r="H931">
        <v>292.113</v>
      </c>
      <c r="I931" s="1" t="s">
        <v>19</v>
      </c>
      <c r="J931">
        <v>27</v>
      </c>
      <c r="K931" s="1" t="s">
        <v>1490</v>
      </c>
      <c r="L931">
        <v>2025</v>
      </c>
    </row>
    <row r="932" spans="1:12" x14ac:dyDescent="0.3">
      <c r="A932" s="1" t="s">
        <v>1404</v>
      </c>
      <c r="B932" s="4">
        <v>45936</v>
      </c>
      <c r="C932" s="1" t="s">
        <v>536</v>
      </c>
      <c r="D932" s="1" t="s">
        <v>123</v>
      </c>
      <c r="E932">
        <v>1</v>
      </c>
      <c r="F932">
        <v>20.28</v>
      </c>
      <c r="G932">
        <v>20.28</v>
      </c>
      <c r="H932">
        <v>6.0840000000000005</v>
      </c>
      <c r="I932" s="1" t="s">
        <v>36</v>
      </c>
      <c r="J932">
        <v>6</v>
      </c>
      <c r="K932" s="1" t="s">
        <v>1490</v>
      </c>
      <c r="L932">
        <v>2025</v>
      </c>
    </row>
    <row r="933" spans="1:12" x14ac:dyDescent="0.3">
      <c r="A933" s="1" t="s">
        <v>1405</v>
      </c>
      <c r="B933" s="4">
        <v>46006</v>
      </c>
      <c r="C933" s="1" t="s">
        <v>756</v>
      </c>
      <c r="D933" s="1" t="s">
        <v>239</v>
      </c>
      <c r="E933">
        <v>3</v>
      </c>
      <c r="F933">
        <v>103.45</v>
      </c>
      <c r="G933">
        <v>310.35000000000002</v>
      </c>
      <c r="H933">
        <v>93.105000000000004</v>
      </c>
      <c r="I933" s="1" t="s">
        <v>36</v>
      </c>
      <c r="J933">
        <v>15</v>
      </c>
      <c r="K933" s="1" t="s">
        <v>1495</v>
      </c>
      <c r="L933">
        <v>2025</v>
      </c>
    </row>
    <row r="934" spans="1:12" x14ac:dyDescent="0.3">
      <c r="A934" s="1" t="s">
        <v>1406</v>
      </c>
      <c r="B934" s="4">
        <v>45321</v>
      </c>
      <c r="C934" s="1" t="s">
        <v>318</v>
      </c>
      <c r="D934" s="1" t="s">
        <v>151</v>
      </c>
      <c r="E934">
        <v>2</v>
      </c>
      <c r="F934">
        <v>89.88</v>
      </c>
      <c r="G934">
        <v>179.76</v>
      </c>
      <c r="H934">
        <v>53.927999999999997</v>
      </c>
      <c r="I934" s="1" t="s">
        <v>11</v>
      </c>
      <c r="J934">
        <v>30</v>
      </c>
      <c r="K934" s="1" t="s">
        <v>1493</v>
      </c>
      <c r="L934">
        <v>2024</v>
      </c>
    </row>
    <row r="935" spans="1:12" x14ac:dyDescent="0.3">
      <c r="A935" s="1" t="s">
        <v>1407</v>
      </c>
      <c r="B935" s="4">
        <v>45655</v>
      </c>
      <c r="C935" s="1" t="s">
        <v>567</v>
      </c>
      <c r="D935" s="1" t="s">
        <v>88</v>
      </c>
      <c r="E935">
        <v>10</v>
      </c>
      <c r="F935">
        <v>162.21</v>
      </c>
      <c r="G935">
        <v>1622.1</v>
      </c>
      <c r="H935">
        <v>486.62999999999994</v>
      </c>
      <c r="I935" s="1" t="s">
        <v>15</v>
      </c>
      <c r="J935">
        <v>29</v>
      </c>
      <c r="K935" s="1" t="s">
        <v>1495</v>
      </c>
      <c r="L935">
        <v>2024</v>
      </c>
    </row>
    <row r="936" spans="1:12" x14ac:dyDescent="0.3">
      <c r="A936" s="1" t="s">
        <v>1408</v>
      </c>
      <c r="B936" s="4">
        <v>45422</v>
      </c>
      <c r="C936" s="1" t="s">
        <v>856</v>
      </c>
      <c r="D936" s="1" t="s">
        <v>60</v>
      </c>
      <c r="E936">
        <v>2</v>
      </c>
      <c r="F936">
        <v>107.88</v>
      </c>
      <c r="G936">
        <v>215.76</v>
      </c>
      <c r="H936">
        <v>64.727999999999994</v>
      </c>
      <c r="I936" s="1" t="s">
        <v>36</v>
      </c>
      <c r="J936">
        <v>10</v>
      </c>
      <c r="K936" s="1" t="s">
        <v>1492</v>
      </c>
      <c r="L936">
        <v>2024</v>
      </c>
    </row>
    <row r="937" spans="1:12" x14ac:dyDescent="0.3">
      <c r="A937" s="1" t="s">
        <v>1409</v>
      </c>
      <c r="B937" s="4">
        <v>45368</v>
      </c>
      <c r="C937" s="1" t="s">
        <v>137</v>
      </c>
      <c r="D937" s="1" t="s">
        <v>83</v>
      </c>
      <c r="E937">
        <v>6</v>
      </c>
      <c r="F937">
        <v>28.49</v>
      </c>
      <c r="G937">
        <v>170.94</v>
      </c>
      <c r="H937">
        <v>51.281999999999996</v>
      </c>
      <c r="I937" s="1" t="s">
        <v>36</v>
      </c>
      <c r="J937">
        <v>17</v>
      </c>
      <c r="K937" s="1" t="s">
        <v>1491</v>
      </c>
      <c r="L937">
        <v>2024</v>
      </c>
    </row>
    <row r="938" spans="1:12" x14ac:dyDescent="0.3">
      <c r="A938" s="1" t="s">
        <v>1410</v>
      </c>
      <c r="B938" s="4">
        <v>45554</v>
      </c>
      <c r="C938" s="1" t="s">
        <v>832</v>
      </c>
      <c r="D938" s="1" t="s">
        <v>111</v>
      </c>
      <c r="E938">
        <v>7</v>
      </c>
      <c r="F938">
        <v>91.3</v>
      </c>
      <c r="G938">
        <v>639.1</v>
      </c>
      <c r="H938">
        <v>191.73</v>
      </c>
      <c r="I938" s="1" t="s">
        <v>11</v>
      </c>
      <c r="J938">
        <v>19</v>
      </c>
      <c r="K938" s="1" t="s">
        <v>1501</v>
      </c>
      <c r="L938">
        <v>2024</v>
      </c>
    </row>
    <row r="939" spans="1:12" x14ac:dyDescent="0.3">
      <c r="A939" s="1" t="s">
        <v>1411</v>
      </c>
      <c r="B939" s="4">
        <v>45967</v>
      </c>
      <c r="C939" s="1" t="s">
        <v>303</v>
      </c>
      <c r="D939" s="1" t="s">
        <v>72</v>
      </c>
      <c r="E939">
        <v>8</v>
      </c>
      <c r="F939">
        <v>134.61000000000001</v>
      </c>
      <c r="G939">
        <v>1076.8800000000001</v>
      </c>
      <c r="H939">
        <v>323.06400000000002</v>
      </c>
      <c r="I939" s="1" t="s">
        <v>19</v>
      </c>
      <c r="J939">
        <v>6</v>
      </c>
      <c r="K939" s="1" t="s">
        <v>1500</v>
      </c>
      <c r="L939">
        <v>2025</v>
      </c>
    </row>
    <row r="940" spans="1:12" x14ac:dyDescent="0.3">
      <c r="A940" s="1" t="s">
        <v>1412</v>
      </c>
      <c r="B940" s="4">
        <v>45625</v>
      </c>
      <c r="C940" s="1" t="s">
        <v>943</v>
      </c>
      <c r="D940" s="1" t="s">
        <v>88</v>
      </c>
      <c r="E940">
        <v>8</v>
      </c>
      <c r="F940">
        <v>162.21</v>
      </c>
      <c r="G940">
        <v>1297.68</v>
      </c>
      <c r="H940">
        <v>389.30400000000003</v>
      </c>
      <c r="I940" s="1" t="s">
        <v>36</v>
      </c>
      <c r="J940">
        <v>29</v>
      </c>
      <c r="K940" s="1" t="s">
        <v>1500</v>
      </c>
      <c r="L940">
        <v>2024</v>
      </c>
    </row>
    <row r="941" spans="1:12" x14ac:dyDescent="0.3">
      <c r="A941" s="1" t="s">
        <v>1413</v>
      </c>
      <c r="B941" s="4">
        <v>45986</v>
      </c>
      <c r="C941" s="1" t="s">
        <v>334</v>
      </c>
      <c r="D941" s="1" t="s">
        <v>24</v>
      </c>
      <c r="E941">
        <v>4</v>
      </c>
      <c r="F941">
        <v>134.32</v>
      </c>
      <c r="G941">
        <v>537.28</v>
      </c>
      <c r="H941">
        <v>161.184</v>
      </c>
      <c r="I941" s="1" t="s">
        <v>36</v>
      </c>
      <c r="J941">
        <v>25</v>
      </c>
      <c r="K941" s="1" t="s">
        <v>1500</v>
      </c>
      <c r="L941">
        <v>2025</v>
      </c>
    </row>
    <row r="942" spans="1:12" x14ac:dyDescent="0.3">
      <c r="A942" s="1" t="s">
        <v>1414</v>
      </c>
      <c r="B942" s="4">
        <v>45545</v>
      </c>
      <c r="C942" s="1" t="s">
        <v>769</v>
      </c>
      <c r="D942" s="1" t="s">
        <v>111</v>
      </c>
      <c r="E942">
        <v>6</v>
      </c>
      <c r="F942">
        <v>91.3</v>
      </c>
      <c r="G942">
        <v>547.79999999999995</v>
      </c>
      <c r="H942">
        <v>164.33999999999997</v>
      </c>
      <c r="I942" s="1" t="s">
        <v>15</v>
      </c>
      <c r="J942">
        <v>10</v>
      </c>
      <c r="K942" s="1" t="s">
        <v>1501</v>
      </c>
      <c r="L942">
        <v>2024</v>
      </c>
    </row>
    <row r="943" spans="1:12" x14ac:dyDescent="0.3">
      <c r="A943" s="1" t="s">
        <v>1415</v>
      </c>
      <c r="B943" s="4">
        <v>45714</v>
      </c>
      <c r="C943" s="1" t="s">
        <v>190</v>
      </c>
      <c r="D943" s="1" t="s">
        <v>88</v>
      </c>
      <c r="E943">
        <v>6</v>
      </c>
      <c r="F943">
        <v>162.21</v>
      </c>
      <c r="G943">
        <v>973.26</v>
      </c>
      <c r="H943">
        <v>291.97800000000001</v>
      </c>
      <c r="I943" s="1" t="s">
        <v>19</v>
      </c>
      <c r="J943">
        <v>26</v>
      </c>
      <c r="K943" s="1" t="s">
        <v>1494</v>
      </c>
      <c r="L943">
        <v>2025</v>
      </c>
    </row>
    <row r="944" spans="1:12" x14ac:dyDescent="0.3">
      <c r="A944" s="1" t="s">
        <v>1416</v>
      </c>
      <c r="B944" s="4">
        <v>45620</v>
      </c>
      <c r="C944" s="1" t="s">
        <v>1227</v>
      </c>
      <c r="D944" s="1" t="s">
        <v>99</v>
      </c>
      <c r="E944">
        <v>9</v>
      </c>
      <c r="F944">
        <v>162.96</v>
      </c>
      <c r="G944">
        <v>1466.64</v>
      </c>
      <c r="H944">
        <v>439.99200000000002</v>
      </c>
      <c r="I944" s="1" t="s">
        <v>11</v>
      </c>
      <c r="J944">
        <v>24</v>
      </c>
      <c r="K944" s="1" t="s">
        <v>1500</v>
      </c>
      <c r="L944">
        <v>2024</v>
      </c>
    </row>
    <row r="945" spans="1:12" x14ac:dyDescent="0.3">
      <c r="A945" s="1" t="s">
        <v>1417</v>
      </c>
      <c r="B945" s="4">
        <v>45725</v>
      </c>
      <c r="C945" s="1" t="s">
        <v>377</v>
      </c>
      <c r="D945" s="1" t="s">
        <v>10</v>
      </c>
      <c r="E945">
        <v>2</v>
      </c>
      <c r="F945">
        <v>112.61</v>
      </c>
      <c r="G945">
        <v>225.22</v>
      </c>
      <c r="H945">
        <v>67.566000000000003</v>
      </c>
      <c r="I945" s="1" t="s">
        <v>11</v>
      </c>
      <c r="J945">
        <v>9</v>
      </c>
      <c r="K945" s="1" t="s">
        <v>1491</v>
      </c>
      <c r="L945">
        <v>2025</v>
      </c>
    </row>
    <row r="946" spans="1:12" x14ac:dyDescent="0.3">
      <c r="A946" s="1" t="s">
        <v>1418</v>
      </c>
      <c r="B946" s="4">
        <v>45975</v>
      </c>
      <c r="C946" s="1" t="s">
        <v>182</v>
      </c>
      <c r="D946" s="1" t="s">
        <v>57</v>
      </c>
      <c r="E946">
        <v>7</v>
      </c>
      <c r="F946">
        <v>38.93</v>
      </c>
      <c r="G946">
        <v>272.51</v>
      </c>
      <c r="H946">
        <v>81.753</v>
      </c>
      <c r="I946" s="1" t="s">
        <v>19</v>
      </c>
      <c r="J946">
        <v>14</v>
      </c>
      <c r="K946" s="1" t="s">
        <v>1500</v>
      </c>
      <c r="L946">
        <v>2025</v>
      </c>
    </row>
    <row r="947" spans="1:12" x14ac:dyDescent="0.3">
      <c r="A947" s="1" t="s">
        <v>1419</v>
      </c>
      <c r="B947" s="4">
        <v>45524</v>
      </c>
      <c r="C947" s="1" t="s">
        <v>946</v>
      </c>
      <c r="D947" s="1" t="s">
        <v>33</v>
      </c>
      <c r="E947">
        <v>10</v>
      </c>
      <c r="F947">
        <v>78.92</v>
      </c>
      <c r="G947">
        <v>789.2</v>
      </c>
      <c r="H947">
        <v>236.76</v>
      </c>
      <c r="I947" s="1" t="s">
        <v>19</v>
      </c>
      <c r="J947">
        <v>20</v>
      </c>
      <c r="K947" s="1" t="s">
        <v>1499</v>
      </c>
      <c r="L947">
        <v>2024</v>
      </c>
    </row>
    <row r="948" spans="1:12" x14ac:dyDescent="0.3">
      <c r="A948" s="1" t="s">
        <v>1420</v>
      </c>
      <c r="B948" s="4">
        <v>45349</v>
      </c>
      <c r="C948" s="1" t="s">
        <v>520</v>
      </c>
      <c r="D948" s="1" t="s">
        <v>153</v>
      </c>
      <c r="E948">
        <v>1</v>
      </c>
      <c r="F948">
        <v>60.32</v>
      </c>
      <c r="G948">
        <v>60.32</v>
      </c>
      <c r="H948">
        <v>18.096</v>
      </c>
      <c r="I948" s="1" t="s">
        <v>36</v>
      </c>
      <c r="J948">
        <v>27</v>
      </c>
      <c r="K948" s="1" t="s">
        <v>1494</v>
      </c>
      <c r="L948">
        <v>2024</v>
      </c>
    </row>
    <row r="949" spans="1:12" x14ac:dyDescent="0.3">
      <c r="A949" s="1" t="s">
        <v>1421</v>
      </c>
      <c r="B949" s="4">
        <v>45410</v>
      </c>
      <c r="C949" s="1" t="s">
        <v>1422</v>
      </c>
      <c r="D949" s="1" t="s">
        <v>244</v>
      </c>
      <c r="E949">
        <v>9</v>
      </c>
      <c r="F949">
        <v>193.35</v>
      </c>
      <c r="G949">
        <v>1740.15</v>
      </c>
      <c r="H949">
        <v>522.04499999999996</v>
      </c>
      <c r="I949" s="1" t="s">
        <v>15</v>
      </c>
      <c r="J949">
        <v>28</v>
      </c>
      <c r="K949" s="1" t="s">
        <v>1496</v>
      </c>
      <c r="L949">
        <v>2024</v>
      </c>
    </row>
    <row r="950" spans="1:12" x14ac:dyDescent="0.3">
      <c r="A950" s="1" t="s">
        <v>1423</v>
      </c>
      <c r="B950" s="4">
        <v>45810</v>
      </c>
      <c r="C950" s="1" t="s">
        <v>1116</v>
      </c>
      <c r="D950" s="1" t="s">
        <v>83</v>
      </c>
      <c r="E950">
        <v>2</v>
      </c>
      <c r="F950">
        <v>28.49</v>
      </c>
      <c r="G950">
        <v>56.98</v>
      </c>
      <c r="H950">
        <v>17.093999999999998</v>
      </c>
      <c r="I950" s="1" t="s">
        <v>36</v>
      </c>
      <c r="J950">
        <v>2</v>
      </c>
      <c r="K950" s="1" t="s">
        <v>1497</v>
      </c>
      <c r="L950">
        <v>2025</v>
      </c>
    </row>
    <row r="951" spans="1:12" x14ac:dyDescent="0.3">
      <c r="A951" s="1" t="s">
        <v>1424</v>
      </c>
      <c r="B951" s="4">
        <v>45825</v>
      </c>
      <c r="C951" s="1" t="s">
        <v>281</v>
      </c>
      <c r="D951" s="1" t="s">
        <v>145</v>
      </c>
      <c r="E951">
        <v>6</v>
      </c>
      <c r="F951">
        <v>180.47</v>
      </c>
      <c r="G951">
        <v>1082.82</v>
      </c>
      <c r="H951">
        <v>324.84599999999995</v>
      </c>
      <c r="I951" s="1" t="s">
        <v>19</v>
      </c>
      <c r="J951">
        <v>17</v>
      </c>
      <c r="K951" s="1" t="s">
        <v>1497</v>
      </c>
      <c r="L951">
        <v>2025</v>
      </c>
    </row>
    <row r="952" spans="1:12" x14ac:dyDescent="0.3">
      <c r="A952" s="1" t="s">
        <v>1425</v>
      </c>
      <c r="B952" s="4">
        <v>45357</v>
      </c>
      <c r="C952" s="1" t="s">
        <v>637</v>
      </c>
      <c r="D952" s="1" t="s">
        <v>151</v>
      </c>
      <c r="E952">
        <v>9</v>
      </c>
      <c r="F952">
        <v>89.88</v>
      </c>
      <c r="G952">
        <v>808.92</v>
      </c>
      <c r="H952">
        <v>242.67599999999999</v>
      </c>
      <c r="I952" s="1" t="s">
        <v>11</v>
      </c>
      <c r="J952">
        <v>6</v>
      </c>
      <c r="K952" s="1" t="s">
        <v>1491</v>
      </c>
      <c r="L952">
        <v>2024</v>
      </c>
    </row>
    <row r="953" spans="1:12" x14ac:dyDescent="0.3">
      <c r="A953" s="1" t="s">
        <v>1426</v>
      </c>
      <c r="B953" s="4">
        <v>45688</v>
      </c>
      <c r="C953" s="1" t="s">
        <v>1427</v>
      </c>
      <c r="D953" s="1" t="s">
        <v>151</v>
      </c>
      <c r="E953">
        <v>7</v>
      </c>
      <c r="F953">
        <v>89.88</v>
      </c>
      <c r="G953">
        <v>629.16</v>
      </c>
      <c r="H953">
        <v>188.74799999999999</v>
      </c>
      <c r="I953" s="1" t="s">
        <v>15</v>
      </c>
      <c r="J953">
        <v>31</v>
      </c>
      <c r="K953" s="1" t="s">
        <v>1493</v>
      </c>
      <c r="L953">
        <v>2025</v>
      </c>
    </row>
    <row r="954" spans="1:12" x14ac:dyDescent="0.3">
      <c r="A954" s="1" t="s">
        <v>1428</v>
      </c>
      <c r="B954" s="4">
        <v>45633</v>
      </c>
      <c r="C954" s="1" t="s">
        <v>47</v>
      </c>
      <c r="D954" s="1" t="s">
        <v>39</v>
      </c>
      <c r="E954">
        <v>2</v>
      </c>
      <c r="F954">
        <v>18.850000000000001</v>
      </c>
      <c r="G954">
        <v>37.700000000000003</v>
      </c>
      <c r="H954">
        <v>11.31</v>
      </c>
      <c r="I954" s="1" t="s">
        <v>11</v>
      </c>
      <c r="J954">
        <v>7</v>
      </c>
      <c r="K954" s="1" t="s">
        <v>1495</v>
      </c>
      <c r="L954">
        <v>2024</v>
      </c>
    </row>
    <row r="955" spans="1:12" x14ac:dyDescent="0.3">
      <c r="A955" s="1" t="s">
        <v>1429</v>
      </c>
      <c r="B955" s="4">
        <v>45610</v>
      </c>
      <c r="C955" s="1" t="s">
        <v>144</v>
      </c>
      <c r="D955" s="1" t="s">
        <v>176</v>
      </c>
      <c r="E955">
        <v>2</v>
      </c>
      <c r="F955">
        <v>68.41</v>
      </c>
      <c r="G955">
        <v>136.82</v>
      </c>
      <c r="H955">
        <v>41.045999999999999</v>
      </c>
      <c r="I955" s="1" t="s">
        <v>36</v>
      </c>
      <c r="J955">
        <v>14</v>
      </c>
      <c r="K955" s="1" t="s">
        <v>1500</v>
      </c>
      <c r="L955">
        <v>2024</v>
      </c>
    </row>
    <row r="956" spans="1:12" x14ac:dyDescent="0.3">
      <c r="A956" s="1" t="s">
        <v>1430</v>
      </c>
      <c r="B956" s="4">
        <v>45702</v>
      </c>
      <c r="C956" s="1" t="s">
        <v>220</v>
      </c>
      <c r="D956" s="1" t="s">
        <v>83</v>
      </c>
      <c r="E956">
        <v>1</v>
      </c>
      <c r="F956">
        <v>28.49</v>
      </c>
      <c r="G956">
        <v>28.49</v>
      </c>
      <c r="H956">
        <v>8.5469999999999988</v>
      </c>
      <c r="I956" s="1" t="s">
        <v>36</v>
      </c>
      <c r="J956">
        <v>14</v>
      </c>
      <c r="K956" s="1" t="s">
        <v>1494</v>
      </c>
      <c r="L956">
        <v>2025</v>
      </c>
    </row>
    <row r="957" spans="1:12" x14ac:dyDescent="0.3">
      <c r="A957" s="1" t="s">
        <v>1431</v>
      </c>
      <c r="B957" s="4">
        <v>45506</v>
      </c>
      <c r="C957" s="1" t="s">
        <v>1009</v>
      </c>
      <c r="D957" s="1" t="s">
        <v>83</v>
      </c>
      <c r="E957">
        <v>5</v>
      </c>
      <c r="F957">
        <v>28.49</v>
      </c>
      <c r="G957">
        <v>142.44999999999999</v>
      </c>
      <c r="H957">
        <v>42.734999999999992</v>
      </c>
      <c r="I957" s="1" t="s">
        <v>11</v>
      </c>
      <c r="J957">
        <v>2</v>
      </c>
      <c r="K957" s="1" t="s">
        <v>1499</v>
      </c>
      <c r="L957">
        <v>2024</v>
      </c>
    </row>
    <row r="958" spans="1:12" x14ac:dyDescent="0.3">
      <c r="A958" s="1" t="s">
        <v>1432</v>
      </c>
      <c r="B958" s="4">
        <v>45390</v>
      </c>
      <c r="C958" s="1" t="s">
        <v>982</v>
      </c>
      <c r="D958" s="1" t="s">
        <v>132</v>
      </c>
      <c r="E958">
        <v>6</v>
      </c>
      <c r="F958">
        <v>52.45</v>
      </c>
      <c r="G958">
        <v>314.7</v>
      </c>
      <c r="H958">
        <v>94.41</v>
      </c>
      <c r="I958" s="1" t="s">
        <v>15</v>
      </c>
      <c r="J958">
        <v>8</v>
      </c>
      <c r="K958" s="1" t="s">
        <v>1496</v>
      </c>
      <c r="L958">
        <v>2024</v>
      </c>
    </row>
    <row r="959" spans="1:12" x14ac:dyDescent="0.3">
      <c r="A959" s="1" t="s">
        <v>1433</v>
      </c>
      <c r="B959" s="4">
        <v>45692</v>
      </c>
      <c r="C959" s="1" t="s">
        <v>423</v>
      </c>
      <c r="D959" s="1" t="s">
        <v>246</v>
      </c>
      <c r="E959">
        <v>9</v>
      </c>
      <c r="F959">
        <v>17.22</v>
      </c>
      <c r="G959">
        <v>154.97999999999999</v>
      </c>
      <c r="H959">
        <v>46.493999999999993</v>
      </c>
      <c r="I959" s="1" t="s">
        <v>11</v>
      </c>
      <c r="J959">
        <v>4</v>
      </c>
      <c r="K959" s="1" t="s">
        <v>1494</v>
      </c>
      <c r="L959">
        <v>2025</v>
      </c>
    </row>
    <row r="960" spans="1:12" x14ac:dyDescent="0.3">
      <c r="A960" s="1" t="s">
        <v>1434</v>
      </c>
      <c r="B960" s="4">
        <v>45978</v>
      </c>
      <c r="C960" s="1" t="s">
        <v>898</v>
      </c>
      <c r="D960" s="1" t="s">
        <v>80</v>
      </c>
      <c r="E960">
        <v>5</v>
      </c>
      <c r="F960">
        <v>48.76</v>
      </c>
      <c r="G960">
        <v>243.8</v>
      </c>
      <c r="H960">
        <v>73.14</v>
      </c>
      <c r="I960" s="1" t="s">
        <v>19</v>
      </c>
      <c r="J960">
        <v>17</v>
      </c>
      <c r="K960" s="1" t="s">
        <v>1500</v>
      </c>
      <c r="L960">
        <v>2025</v>
      </c>
    </row>
    <row r="961" spans="1:12" x14ac:dyDescent="0.3">
      <c r="A961" s="1" t="s">
        <v>1435</v>
      </c>
      <c r="B961" s="4">
        <v>45706</v>
      </c>
      <c r="C961" s="1" t="s">
        <v>131</v>
      </c>
      <c r="D961" s="1" t="s">
        <v>45</v>
      </c>
      <c r="E961">
        <v>1</v>
      </c>
      <c r="F961">
        <v>24.62</v>
      </c>
      <c r="G961">
        <v>24.62</v>
      </c>
      <c r="H961">
        <v>7.3860000000000001</v>
      </c>
      <c r="I961" s="1" t="s">
        <v>15</v>
      </c>
      <c r="J961">
        <v>18</v>
      </c>
      <c r="K961" s="1" t="s">
        <v>1494</v>
      </c>
      <c r="L961">
        <v>2025</v>
      </c>
    </row>
    <row r="962" spans="1:12" x14ac:dyDescent="0.3">
      <c r="A962" s="1" t="s">
        <v>1436</v>
      </c>
      <c r="B962" s="4">
        <v>45925</v>
      </c>
      <c r="C962" s="1" t="s">
        <v>684</v>
      </c>
      <c r="D962" s="1" t="s">
        <v>368</v>
      </c>
      <c r="E962">
        <v>6</v>
      </c>
      <c r="F962">
        <v>34.369999999999997</v>
      </c>
      <c r="G962">
        <v>206.22</v>
      </c>
      <c r="H962">
        <v>61.866</v>
      </c>
      <c r="I962" s="1" t="s">
        <v>11</v>
      </c>
      <c r="J962">
        <v>25</v>
      </c>
      <c r="K962" s="1" t="s">
        <v>1501</v>
      </c>
      <c r="L962">
        <v>2025</v>
      </c>
    </row>
    <row r="963" spans="1:12" x14ac:dyDescent="0.3">
      <c r="A963" s="1" t="s">
        <v>1437</v>
      </c>
      <c r="B963" s="4">
        <v>45687</v>
      </c>
      <c r="C963" s="1" t="s">
        <v>617</v>
      </c>
      <c r="D963" s="1" t="s">
        <v>132</v>
      </c>
      <c r="E963">
        <v>3</v>
      </c>
      <c r="F963">
        <v>52.45</v>
      </c>
      <c r="G963">
        <v>157.35</v>
      </c>
      <c r="H963">
        <v>47.204999999999998</v>
      </c>
      <c r="I963" s="1" t="s">
        <v>36</v>
      </c>
      <c r="J963">
        <v>30</v>
      </c>
      <c r="K963" s="1" t="s">
        <v>1493</v>
      </c>
      <c r="L963">
        <v>2025</v>
      </c>
    </row>
    <row r="964" spans="1:12" x14ac:dyDescent="0.3">
      <c r="A964" s="1" t="s">
        <v>1438</v>
      </c>
      <c r="B964" s="4">
        <v>45947</v>
      </c>
      <c r="C964" s="1" t="s">
        <v>26</v>
      </c>
      <c r="D964" s="1" t="s">
        <v>57</v>
      </c>
      <c r="E964">
        <v>2</v>
      </c>
      <c r="F964">
        <v>38.93</v>
      </c>
      <c r="G964">
        <v>77.86</v>
      </c>
      <c r="H964">
        <v>23.358000000000001</v>
      </c>
      <c r="I964" s="1" t="s">
        <v>11</v>
      </c>
      <c r="J964">
        <v>17</v>
      </c>
      <c r="K964" s="1" t="s">
        <v>1490</v>
      </c>
      <c r="L964">
        <v>2025</v>
      </c>
    </row>
    <row r="965" spans="1:12" x14ac:dyDescent="0.3">
      <c r="A965" s="1" t="s">
        <v>1439</v>
      </c>
      <c r="B965" s="4">
        <v>45686</v>
      </c>
      <c r="C965" s="1" t="s">
        <v>1440</v>
      </c>
      <c r="D965" s="1" t="s">
        <v>18</v>
      </c>
      <c r="E965">
        <v>10</v>
      </c>
      <c r="F965">
        <v>185.22</v>
      </c>
      <c r="G965">
        <v>1852.2</v>
      </c>
      <c r="H965">
        <v>555.66</v>
      </c>
      <c r="I965" s="1" t="s">
        <v>11</v>
      </c>
      <c r="J965">
        <v>29</v>
      </c>
      <c r="K965" s="1" t="s">
        <v>1493</v>
      </c>
      <c r="L965">
        <v>2025</v>
      </c>
    </row>
    <row r="966" spans="1:12" x14ac:dyDescent="0.3">
      <c r="A966" s="1" t="s">
        <v>1441</v>
      </c>
      <c r="B966" s="4">
        <v>45561</v>
      </c>
      <c r="C966" s="1" t="s">
        <v>230</v>
      </c>
      <c r="D966" s="1" t="s">
        <v>145</v>
      </c>
      <c r="E966">
        <v>5</v>
      </c>
      <c r="F966">
        <v>180.47</v>
      </c>
      <c r="G966">
        <v>902.35</v>
      </c>
      <c r="H966">
        <v>270.70499999999998</v>
      </c>
      <c r="I966" s="1" t="s">
        <v>15</v>
      </c>
      <c r="J966">
        <v>26</v>
      </c>
      <c r="K966" s="1" t="s">
        <v>1501</v>
      </c>
      <c r="L966">
        <v>2024</v>
      </c>
    </row>
    <row r="967" spans="1:12" x14ac:dyDescent="0.3">
      <c r="A967" s="1" t="s">
        <v>1442</v>
      </c>
      <c r="B967" s="4">
        <v>45432</v>
      </c>
      <c r="C967" s="1" t="s">
        <v>218</v>
      </c>
      <c r="D967" s="1" t="s">
        <v>246</v>
      </c>
      <c r="E967">
        <v>2</v>
      </c>
      <c r="F967">
        <v>17.22</v>
      </c>
      <c r="G967">
        <v>34.44</v>
      </c>
      <c r="H967">
        <v>10.331999999999999</v>
      </c>
      <c r="I967" s="1" t="s">
        <v>11</v>
      </c>
      <c r="J967">
        <v>20</v>
      </c>
      <c r="K967" s="1" t="s">
        <v>1492</v>
      </c>
      <c r="L967">
        <v>2024</v>
      </c>
    </row>
    <row r="968" spans="1:12" x14ac:dyDescent="0.3">
      <c r="A968" s="1" t="s">
        <v>1443</v>
      </c>
      <c r="B968" s="4">
        <v>45534</v>
      </c>
      <c r="C968" s="1" t="s">
        <v>932</v>
      </c>
      <c r="D968" s="1" t="s">
        <v>142</v>
      </c>
      <c r="E968">
        <v>10</v>
      </c>
      <c r="F968">
        <v>52.52</v>
      </c>
      <c r="G968">
        <v>525.20000000000005</v>
      </c>
      <c r="H968">
        <v>157.56</v>
      </c>
      <c r="I968" s="1" t="s">
        <v>19</v>
      </c>
      <c r="J968">
        <v>30</v>
      </c>
      <c r="K968" s="1" t="s">
        <v>1499</v>
      </c>
      <c r="L968">
        <v>2024</v>
      </c>
    </row>
    <row r="969" spans="1:12" x14ac:dyDescent="0.3">
      <c r="A969" s="1" t="s">
        <v>1444</v>
      </c>
      <c r="B969" s="4">
        <v>45809</v>
      </c>
      <c r="C969" s="1" t="s">
        <v>1445</v>
      </c>
      <c r="D969" s="1" t="s">
        <v>261</v>
      </c>
      <c r="E969">
        <v>5</v>
      </c>
      <c r="F969">
        <v>176.31</v>
      </c>
      <c r="G969">
        <v>881.55</v>
      </c>
      <c r="H969">
        <v>264.46499999999997</v>
      </c>
      <c r="I969" s="1" t="s">
        <v>11</v>
      </c>
      <c r="J969">
        <v>1</v>
      </c>
      <c r="K969" s="1" t="s">
        <v>1497</v>
      </c>
      <c r="L969">
        <v>2025</v>
      </c>
    </row>
    <row r="970" spans="1:12" x14ac:dyDescent="0.3">
      <c r="A970" s="1" t="s">
        <v>1446</v>
      </c>
      <c r="B970" s="4">
        <v>45338</v>
      </c>
      <c r="C970" s="1" t="s">
        <v>1447</v>
      </c>
      <c r="D970" s="1" t="s">
        <v>88</v>
      </c>
      <c r="E970">
        <v>2</v>
      </c>
      <c r="F970">
        <v>162.21</v>
      </c>
      <c r="G970">
        <v>324.42</v>
      </c>
      <c r="H970">
        <v>97.326000000000008</v>
      </c>
      <c r="I970" s="1" t="s">
        <v>36</v>
      </c>
      <c r="J970">
        <v>16</v>
      </c>
      <c r="K970" s="1" t="s">
        <v>1494</v>
      </c>
      <c r="L970">
        <v>2024</v>
      </c>
    </row>
    <row r="971" spans="1:12" x14ac:dyDescent="0.3">
      <c r="A971" s="1" t="s">
        <v>1448</v>
      </c>
      <c r="B971" s="4">
        <v>45384</v>
      </c>
      <c r="C971" s="1" t="s">
        <v>1079</v>
      </c>
      <c r="D971" s="1" t="s">
        <v>132</v>
      </c>
      <c r="E971">
        <v>3</v>
      </c>
      <c r="F971">
        <v>52.45</v>
      </c>
      <c r="G971">
        <v>157.35</v>
      </c>
      <c r="H971">
        <v>47.204999999999998</v>
      </c>
      <c r="I971" s="1" t="s">
        <v>11</v>
      </c>
      <c r="J971">
        <v>2</v>
      </c>
      <c r="K971" s="1" t="s">
        <v>1496</v>
      </c>
      <c r="L971">
        <v>2024</v>
      </c>
    </row>
    <row r="972" spans="1:12" x14ac:dyDescent="0.3">
      <c r="A972" s="1" t="s">
        <v>1449</v>
      </c>
      <c r="B972" s="4">
        <v>45370</v>
      </c>
      <c r="C972" s="1" t="s">
        <v>389</v>
      </c>
      <c r="D972" s="1" t="s">
        <v>42</v>
      </c>
      <c r="E972">
        <v>2</v>
      </c>
      <c r="F972">
        <v>165.9</v>
      </c>
      <c r="G972">
        <v>331.8</v>
      </c>
      <c r="H972">
        <v>99.54</v>
      </c>
      <c r="I972" s="1" t="s">
        <v>15</v>
      </c>
      <c r="J972">
        <v>19</v>
      </c>
      <c r="K972" s="1" t="s">
        <v>1491</v>
      </c>
      <c r="L972">
        <v>2024</v>
      </c>
    </row>
    <row r="973" spans="1:12" x14ac:dyDescent="0.3">
      <c r="A973" s="1" t="s">
        <v>1450</v>
      </c>
      <c r="B973" s="4">
        <v>45830</v>
      </c>
      <c r="C973" s="1" t="s">
        <v>834</v>
      </c>
      <c r="D973" s="1" t="s">
        <v>151</v>
      </c>
      <c r="E973">
        <v>9</v>
      </c>
      <c r="F973">
        <v>89.88</v>
      </c>
      <c r="G973">
        <v>808.92</v>
      </c>
      <c r="H973">
        <v>242.67599999999999</v>
      </c>
      <c r="I973" s="1" t="s">
        <v>11</v>
      </c>
      <c r="J973">
        <v>22</v>
      </c>
      <c r="K973" s="1" t="s">
        <v>1497</v>
      </c>
      <c r="L973">
        <v>2025</v>
      </c>
    </row>
    <row r="974" spans="1:12" x14ac:dyDescent="0.3">
      <c r="A974" s="1" t="s">
        <v>1451</v>
      </c>
      <c r="B974" s="4">
        <v>45676</v>
      </c>
      <c r="C974" s="1" t="s">
        <v>583</v>
      </c>
      <c r="D974" s="1" t="s">
        <v>48</v>
      </c>
      <c r="E974">
        <v>1</v>
      </c>
      <c r="F974">
        <v>17.64</v>
      </c>
      <c r="G974">
        <v>17.64</v>
      </c>
      <c r="H974">
        <v>5.2919999999999998</v>
      </c>
      <c r="I974" s="1" t="s">
        <v>15</v>
      </c>
      <c r="J974">
        <v>19</v>
      </c>
      <c r="K974" s="1" t="s">
        <v>1493</v>
      </c>
      <c r="L974">
        <v>2025</v>
      </c>
    </row>
    <row r="975" spans="1:12" x14ac:dyDescent="0.3">
      <c r="A975" s="1" t="s">
        <v>1452</v>
      </c>
      <c r="B975" s="4">
        <v>45581</v>
      </c>
      <c r="C975" s="1" t="s">
        <v>635</v>
      </c>
      <c r="D975" s="1" t="s">
        <v>111</v>
      </c>
      <c r="E975">
        <v>9</v>
      </c>
      <c r="F975">
        <v>91.3</v>
      </c>
      <c r="G975">
        <v>821.7</v>
      </c>
      <c r="H975">
        <v>246.51</v>
      </c>
      <c r="I975" s="1" t="s">
        <v>36</v>
      </c>
      <c r="J975">
        <v>16</v>
      </c>
      <c r="K975" s="1" t="s">
        <v>1490</v>
      </c>
      <c r="L975">
        <v>2024</v>
      </c>
    </row>
    <row r="976" spans="1:12" x14ac:dyDescent="0.3">
      <c r="A976" s="1" t="s">
        <v>1453</v>
      </c>
      <c r="B976" s="4">
        <v>45357</v>
      </c>
      <c r="C976" s="1" t="s">
        <v>588</v>
      </c>
      <c r="D976" s="1" t="s">
        <v>183</v>
      </c>
      <c r="E976">
        <v>9</v>
      </c>
      <c r="F976">
        <v>12.47</v>
      </c>
      <c r="G976">
        <v>112.23</v>
      </c>
      <c r="H976">
        <v>33.668999999999997</v>
      </c>
      <c r="I976" s="1" t="s">
        <v>36</v>
      </c>
      <c r="J976">
        <v>6</v>
      </c>
      <c r="K976" s="1" t="s">
        <v>1491</v>
      </c>
      <c r="L976">
        <v>2024</v>
      </c>
    </row>
    <row r="977" spans="1:12" x14ac:dyDescent="0.3">
      <c r="A977" s="1" t="s">
        <v>1454</v>
      </c>
      <c r="B977" s="4">
        <v>45614</v>
      </c>
      <c r="C977" s="1" t="s">
        <v>1280</v>
      </c>
      <c r="D977" s="1" t="s">
        <v>48</v>
      </c>
      <c r="E977">
        <v>1</v>
      </c>
      <c r="F977">
        <v>17.64</v>
      </c>
      <c r="G977">
        <v>17.64</v>
      </c>
      <c r="H977">
        <v>5.2919999999999998</v>
      </c>
      <c r="I977" s="1" t="s">
        <v>36</v>
      </c>
      <c r="J977">
        <v>18</v>
      </c>
      <c r="K977" s="1" t="s">
        <v>1500</v>
      </c>
      <c r="L977">
        <v>2024</v>
      </c>
    </row>
    <row r="978" spans="1:12" x14ac:dyDescent="0.3">
      <c r="A978" s="1" t="s">
        <v>1455</v>
      </c>
      <c r="B978" s="4">
        <v>45500</v>
      </c>
      <c r="C978" s="1" t="s">
        <v>774</v>
      </c>
      <c r="D978" s="1" t="s">
        <v>261</v>
      </c>
      <c r="E978">
        <v>4</v>
      </c>
      <c r="F978">
        <v>176.31</v>
      </c>
      <c r="G978">
        <v>705.24</v>
      </c>
      <c r="H978">
        <v>211.572</v>
      </c>
      <c r="I978" s="1" t="s">
        <v>15</v>
      </c>
      <c r="J978">
        <v>27</v>
      </c>
      <c r="K978" s="1" t="s">
        <v>1498</v>
      </c>
      <c r="L978">
        <v>2024</v>
      </c>
    </row>
    <row r="979" spans="1:12" x14ac:dyDescent="0.3">
      <c r="A979" s="1" t="s">
        <v>1456</v>
      </c>
      <c r="B979" s="4">
        <v>45477</v>
      </c>
      <c r="C979" s="1" t="s">
        <v>66</v>
      </c>
      <c r="D979" s="1" t="s">
        <v>193</v>
      </c>
      <c r="E979">
        <v>3</v>
      </c>
      <c r="F979">
        <v>157.13</v>
      </c>
      <c r="G979">
        <v>471.39</v>
      </c>
      <c r="H979">
        <v>141.417</v>
      </c>
      <c r="I979" s="1" t="s">
        <v>15</v>
      </c>
      <c r="J979">
        <v>4</v>
      </c>
      <c r="K979" s="1" t="s">
        <v>1498</v>
      </c>
      <c r="L979">
        <v>2024</v>
      </c>
    </row>
    <row r="980" spans="1:12" x14ac:dyDescent="0.3">
      <c r="A980" s="1" t="s">
        <v>1457</v>
      </c>
      <c r="B980" s="4">
        <v>45889</v>
      </c>
      <c r="C980" s="1" t="s">
        <v>673</v>
      </c>
      <c r="D980" s="1" t="s">
        <v>123</v>
      </c>
      <c r="E980">
        <v>6</v>
      </c>
      <c r="F980">
        <v>20.28</v>
      </c>
      <c r="G980">
        <v>121.68</v>
      </c>
      <c r="H980">
        <v>36.503999999999998</v>
      </c>
      <c r="I980" s="1" t="s">
        <v>36</v>
      </c>
      <c r="J980">
        <v>20</v>
      </c>
      <c r="K980" s="1" t="s">
        <v>1499</v>
      </c>
      <c r="L980">
        <v>2025</v>
      </c>
    </row>
    <row r="981" spans="1:12" x14ac:dyDescent="0.3">
      <c r="A981" s="1" t="s">
        <v>1458</v>
      </c>
      <c r="B981" s="4">
        <v>45354</v>
      </c>
      <c r="C981" s="1" t="s">
        <v>1346</v>
      </c>
      <c r="D981" s="1" t="s">
        <v>256</v>
      </c>
      <c r="E981">
        <v>8</v>
      </c>
      <c r="F981">
        <v>58.12</v>
      </c>
      <c r="G981">
        <v>464.96</v>
      </c>
      <c r="H981">
        <v>139.488</v>
      </c>
      <c r="I981" s="1" t="s">
        <v>15</v>
      </c>
      <c r="J981">
        <v>3</v>
      </c>
      <c r="K981" s="1" t="s">
        <v>1491</v>
      </c>
      <c r="L981">
        <v>2024</v>
      </c>
    </row>
    <row r="982" spans="1:12" x14ac:dyDescent="0.3">
      <c r="A982" s="1" t="s">
        <v>1459</v>
      </c>
      <c r="B982" s="4">
        <v>45879</v>
      </c>
      <c r="C982" s="1" t="s">
        <v>940</v>
      </c>
      <c r="D982" s="1" t="s">
        <v>153</v>
      </c>
      <c r="E982">
        <v>5</v>
      </c>
      <c r="F982">
        <v>60.32</v>
      </c>
      <c r="G982">
        <v>301.60000000000002</v>
      </c>
      <c r="H982">
        <v>90.48</v>
      </c>
      <c r="I982" s="1" t="s">
        <v>36</v>
      </c>
      <c r="J982">
        <v>10</v>
      </c>
      <c r="K982" s="1" t="s">
        <v>1499</v>
      </c>
      <c r="L982">
        <v>2025</v>
      </c>
    </row>
    <row r="983" spans="1:12" x14ac:dyDescent="0.3">
      <c r="A983" s="1" t="s">
        <v>1460</v>
      </c>
      <c r="B983" s="4">
        <v>45694</v>
      </c>
      <c r="C983" s="1" t="s">
        <v>425</v>
      </c>
      <c r="D983" s="1" t="s">
        <v>228</v>
      </c>
      <c r="E983">
        <v>10</v>
      </c>
      <c r="F983">
        <v>104.84</v>
      </c>
      <c r="G983">
        <v>1048.4000000000001</v>
      </c>
      <c r="H983">
        <v>314.52000000000004</v>
      </c>
      <c r="I983" s="1" t="s">
        <v>19</v>
      </c>
      <c r="J983">
        <v>6</v>
      </c>
      <c r="K983" s="1" t="s">
        <v>1494</v>
      </c>
      <c r="L983">
        <v>2025</v>
      </c>
    </row>
    <row r="984" spans="1:12" x14ac:dyDescent="0.3">
      <c r="A984" s="1" t="s">
        <v>1461</v>
      </c>
      <c r="B984" s="4">
        <v>45495</v>
      </c>
      <c r="C984" s="1" t="s">
        <v>1359</v>
      </c>
      <c r="D984" s="1" t="s">
        <v>27</v>
      </c>
      <c r="E984">
        <v>6</v>
      </c>
      <c r="F984">
        <v>35.03</v>
      </c>
      <c r="G984">
        <v>210.18</v>
      </c>
      <c r="H984">
        <v>63.054000000000002</v>
      </c>
      <c r="I984" s="1" t="s">
        <v>15</v>
      </c>
      <c r="J984">
        <v>22</v>
      </c>
      <c r="K984" s="1" t="s">
        <v>1498</v>
      </c>
      <c r="L984">
        <v>2024</v>
      </c>
    </row>
    <row r="985" spans="1:12" x14ac:dyDescent="0.3">
      <c r="A985" s="1" t="s">
        <v>1462</v>
      </c>
      <c r="B985" s="4">
        <v>45988</v>
      </c>
      <c r="C985" s="1" t="s">
        <v>473</v>
      </c>
      <c r="D985" s="1" t="s">
        <v>10</v>
      </c>
      <c r="E985">
        <v>1</v>
      </c>
      <c r="F985">
        <v>112.61</v>
      </c>
      <c r="G985">
        <v>112.61</v>
      </c>
      <c r="H985">
        <v>33.783000000000001</v>
      </c>
      <c r="I985" s="1" t="s">
        <v>15</v>
      </c>
      <c r="J985">
        <v>27</v>
      </c>
      <c r="K985" s="1" t="s">
        <v>1500</v>
      </c>
      <c r="L985">
        <v>2025</v>
      </c>
    </row>
    <row r="986" spans="1:12" x14ac:dyDescent="0.3">
      <c r="A986" s="1" t="s">
        <v>1463</v>
      </c>
      <c r="B986" s="4">
        <v>45989</v>
      </c>
      <c r="C986" s="1" t="s">
        <v>373</v>
      </c>
      <c r="D986" s="1" t="s">
        <v>114</v>
      </c>
      <c r="E986">
        <v>6</v>
      </c>
      <c r="F986">
        <v>195.89</v>
      </c>
      <c r="G986">
        <v>1175.3399999999999</v>
      </c>
      <c r="H986">
        <v>352.60199999999998</v>
      </c>
      <c r="I986" s="1" t="s">
        <v>15</v>
      </c>
      <c r="J986">
        <v>28</v>
      </c>
      <c r="K986" s="1" t="s">
        <v>1500</v>
      </c>
      <c r="L986">
        <v>2025</v>
      </c>
    </row>
    <row r="987" spans="1:12" x14ac:dyDescent="0.3">
      <c r="A987" s="1" t="s">
        <v>1464</v>
      </c>
      <c r="B987" s="4">
        <v>45408</v>
      </c>
      <c r="C987" s="1" t="s">
        <v>387</v>
      </c>
      <c r="D987" s="1" t="s">
        <v>30</v>
      </c>
      <c r="E987">
        <v>4</v>
      </c>
      <c r="F987">
        <v>74.61</v>
      </c>
      <c r="G987">
        <v>298.44</v>
      </c>
      <c r="H987">
        <v>89.531999999999996</v>
      </c>
      <c r="I987" s="1" t="s">
        <v>11</v>
      </c>
      <c r="J987">
        <v>26</v>
      </c>
      <c r="K987" s="1" t="s">
        <v>1496</v>
      </c>
      <c r="L987">
        <v>2024</v>
      </c>
    </row>
    <row r="988" spans="1:12" x14ac:dyDescent="0.3">
      <c r="A988" s="1" t="s">
        <v>1465</v>
      </c>
      <c r="B988" s="4">
        <v>45624</v>
      </c>
      <c r="C988" s="1" t="s">
        <v>711</v>
      </c>
      <c r="D988" s="1" t="s">
        <v>368</v>
      </c>
      <c r="E988">
        <v>2</v>
      </c>
      <c r="F988">
        <v>34.369999999999997</v>
      </c>
      <c r="G988">
        <v>68.739999999999995</v>
      </c>
      <c r="H988">
        <v>20.621999999999996</v>
      </c>
      <c r="I988" s="1" t="s">
        <v>36</v>
      </c>
      <c r="J988">
        <v>28</v>
      </c>
      <c r="K988" s="1" t="s">
        <v>1500</v>
      </c>
      <c r="L988">
        <v>2024</v>
      </c>
    </row>
    <row r="989" spans="1:12" x14ac:dyDescent="0.3">
      <c r="A989" s="1" t="s">
        <v>1466</v>
      </c>
      <c r="B989" s="4">
        <v>45943</v>
      </c>
      <c r="C989" s="1" t="s">
        <v>410</v>
      </c>
      <c r="D989" s="1" t="s">
        <v>114</v>
      </c>
      <c r="E989">
        <v>7</v>
      </c>
      <c r="F989">
        <v>195.89</v>
      </c>
      <c r="G989">
        <v>1371.23</v>
      </c>
      <c r="H989">
        <v>411.36899999999997</v>
      </c>
      <c r="I989" s="1" t="s">
        <v>36</v>
      </c>
      <c r="J989">
        <v>13</v>
      </c>
      <c r="K989" s="1" t="s">
        <v>1490</v>
      </c>
      <c r="L989">
        <v>2025</v>
      </c>
    </row>
    <row r="990" spans="1:12" x14ac:dyDescent="0.3">
      <c r="A990" s="1" t="s">
        <v>1467</v>
      </c>
      <c r="B990" s="4">
        <v>45869</v>
      </c>
      <c r="C990" s="1" t="s">
        <v>324</v>
      </c>
      <c r="D990" s="1" t="s">
        <v>327</v>
      </c>
      <c r="E990">
        <v>5</v>
      </c>
      <c r="F990">
        <v>89.24</v>
      </c>
      <c r="G990">
        <v>446.2</v>
      </c>
      <c r="H990">
        <v>133.85999999999999</v>
      </c>
      <c r="I990" s="1" t="s">
        <v>36</v>
      </c>
      <c r="J990">
        <v>31</v>
      </c>
      <c r="K990" s="1" t="s">
        <v>1498</v>
      </c>
      <c r="L990">
        <v>2025</v>
      </c>
    </row>
    <row r="991" spans="1:12" x14ac:dyDescent="0.3">
      <c r="A991" s="1" t="s">
        <v>1468</v>
      </c>
      <c r="B991" s="4">
        <v>45801</v>
      </c>
      <c r="C991" s="1" t="s">
        <v>1293</v>
      </c>
      <c r="D991" s="1" t="s">
        <v>221</v>
      </c>
      <c r="E991">
        <v>8</v>
      </c>
      <c r="F991">
        <v>108.19</v>
      </c>
      <c r="G991">
        <v>865.52</v>
      </c>
      <c r="H991">
        <v>259.65600000000001</v>
      </c>
      <c r="I991" s="1" t="s">
        <v>19</v>
      </c>
      <c r="J991">
        <v>24</v>
      </c>
      <c r="K991" s="1" t="s">
        <v>1492</v>
      </c>
      <c r="L991">
        <v>2025</v>
      </c>
    </row>
    <row r="992" spans="1:12" x14ac:dyDescent="0.3">
      <c r="A992" s="1" t="s">
        <v>1469</v>
      </c>
      <c r="B992" s="4">
        <v>45591</v>
      </c>
      <c r="C992" s="1" t="s">
        <v>834</v>
      </c>
      <c r="D992" s="1" t="s">
        <v>228</v>
      </c>
      <c r="E992">
        <v>1</v>
      </c>
      <c r="F992">
        <v>104.84</v>
      </c>
      <c r="G992">
        <v>104.84</v>
      </c>
      <c r="H992">
        <v>31.451999999999998</v>
      </c>
      <c r="I992" s="1" t="s">
        <v>15</v>
      </c>
      <c r="J992">
        <v>26</v>
      </c>
      <c r="K992" s="1" t="s">
        <v>1490</v>
      </c>
      <c r="L992">
        <v>2024</v>
      </c>
    </row>
    <row r="993" spans="1:12" x14ac:dyDescent="0.3">
      <c r="A993" s="1" t="s">
        <v>1470</v>
      </c>
      <c r="B993" s="4">
        <v>45503</v>
      </c>
      <c r="C993" s="1" t="s">
        <v>387</v>
      </c>
      <c r="D993" s="1" t="s">
        <v>239</v>
      </c>
      <c r="E993">
        <v>1</v>
      </c>
      <c r="F993">
        <v>103.45</v>
      </c>
      <c r="G993">
        <v>103.45</v>
      </c>
      <c r="H993">
        <v>31.035</v>
      </c>
      <c r="I993" s="1" t="s">
        <v>11</v>
      </c>
      <c r="J993">
        <v>30</v>
      </c>
      <c r="K993" s="1" t="s">
        <v>1498</v>
      </c>
      <c r="L993">
        <v>2024</v>
      </c>
    </row>
    <row r="994" spans="1:12" x14ac:dyDescent="0.3">
      <c r="A994" s="1" t="s">
        <v>1471</v>
      </c>
      <c r="B994" s="4">
        <v>45742</v>
      </c>
      <c r="C994" s="1" t="s">
        <v>943</v>
      </c>
      <c r="D994" s="1" t="s">
        <v>246</v>
      </c>
      <c r="E994">
        <v>6</v>
      </c>
      <c r="F994">
        <v>17.22</v>
      </c>
      <c r="G994">
        <v>103.32</v>
      </c>
      <c r="H994">
        <v>30.995999999999995</v>
      </c>
      <c r="I994" s="1" t="s">
        <v>11</v>
      </c>
      <c r="J994">
        <v>26</v>
      </c>
      <c r="K994" s="1" t="s">
        <v>1491</v>
      </c>
      <c r="L994">
        <v>2025</v>
      </c>
    </row>
    <row r="995" spans="1:12" x14ac:dyDescent="0.3">
      <c r="A995" s="1" t="s">
        <v>1472</v>
      </c>
      <c r="B995" s="4">
        <v>45932</v>
      </c>
      <c r="C995" s="1" t="s">
        <v>1473</v>
      </c>
      <c r="D995" s="1" t="s">
        <v>228</v>
      </c>
      <c r="E995">
        <v>6</v>
      </c>
      <c r="F995">
        <v>104.84</v>
      </c>
      <c r="G995">
        <v>629.04</v>
      </c>
      <c r="H995">
        <v>188.71199999999999</v>
      </c>
      <c r="I995" s="1" t="s">
        <v>19</v>
      </c>
      <c r="J995">
        <v>2</v>
      </c>
      <c r="K995" s="1" t="s">
        <v>1490</v>
      </c>
      <c r="L995">
        <v>2025</v>
      </c>
    </row>
    <row r="996" spans="1:12" x14ac:dyDescent="0.3">
      <c r="A996" s="1" t="s">
        <v>1474</v>
      </c>
      <c r="B996" s="4">
        <v>45784</v>
      </c>
      <c r="C996" s="1" t="s">
        <v>486</v>
      </c>
      <c r="D996" s="1" t="s">
        <v>33</v>
      </c>
      <c r="E996">
        <v>3</v>
      </c>
      <c r="F996">
        <v>78.92</v>
      </c>
      <c r="G996">
        <v>236.76</v>
      </c>
      <c r="H996">
        <v>71.027999999999992</v>
      </c>
      <c r="I996" s="1" t="s">
        <v>19</v>
      </c>
      <c r="J996">
        <v>7</v>
      </c>
      <c r="K996" s="1" t="s">
        <v>1492</v>
      </c>
      <c r="L996">
        <v>2025</v>
      </c>
    </row>
    <row r="997" spans="1:12" x14ac:dyDescent="0.3">
      <c r="A997" s="1" t="s">
        <v>1475</v>
      </c>
      <c r="B997" s="4">
        <v>45673</v>
      </c>
      <c r="C997" s="1" t="s">
        <v>1476</v>
      </c>
      <c r="D997" s="1" t="s">
        <v>72</v>
      </c>
      <c r="E997">
        <v>9</v>
      </c>
      <c r="F997">
        <v>134.61000000000001</v>
      </c>
      <c r="G997">
        <v>1211.49</v>
      </c>
      <c r="H997">
        <v>363.447</v>
      </c>
      <c r="I997" s="1" t="s">
        <v>19</v>
      </c>
      <c r="J997">
        <v>16</v>
      </c>
      <c r="K997" s="1" t="s">
        <v>1493</v>
      </c>
      <c r="L997">
        <v>2025</v>
      </c>
    </row>
    <row r="998" spans="1:12" x14ac:dyDescent="0.3">
      <c r="A998" s="1" t="s">
        <v>1477</v>
      </c>
      <c r="B998" s="4">
        <v>45665</v>
      </c>
      <c r="C998" s="1" t="s">
        <v>363</v>
      </c>
      <c r="D998" s="1" t="s">
        <v>256</v>
      </c>
      <c r="E998">
        <v>5</v>
      </c>
      <c r="F998">
        <v>58.12</v>
      </c>
      <c r="G998">
        <v>290.60000000000002</v>
      </c>
      <c r="H998">
        <v>87.18</v>
      </c>
      <c r="I998" s="1" t="s">
        <v>36</v>
      </c>
      <c r="J998">
        <v>8</v>
      </c>
      <c r="K998" s="1" t="s">
        <v>1493</v>
      </c>
      <c r="L998">
        <v>2025</v>
      </c>
    </row>
    <row r="999" spans="1:12" x14ac:dyDescent="0.3">
      <c r="A999" s="1" t="s">
        <v>1478</v>
      </c>
      <c r="B999" s="4">
        <v>45471</v>
      </c>
      <c r="C999" s="1" t="s">
        <v>1479</v>
      </c>
      <c r="D999" s="1" t="s">
        <v>132</v>
      </c>
      <c r="E999">
        <v>10</v>
      </c>
      <c r="F999">
        <v>52.45</v>
      </c>
      <c r="G999">
        <v>524.5</v>
      </c>
      <c r="H999">
        <v>157.35</v>
      </c>
      <c r="I999" s="1" t="s">
        <v>15</v>
      </c>
      <c r="J999">
        <v>28</v>
      </c>
      <c r="K999" s="1" t="s">
        <v>1497</v>
      </c>
      <c r="L999">
        <v>2024</v>
      </c>
    </row>
    <row r="1000" spans="1:12" x14ac:dyDescent="0.3">
      <c r="A1000" s="1" t="s">
        <v>1480</v>
      </c>
      <c r="B1000" s="4">
        <v>45671</v>
      </c>
      <c r="C1000" s="1" t="s">
        <v>1264</v>
      </c>
      <c r="D1000" s="1" t="s">
        <v>102</v>
      </c>
      <c r="E1000">
        <v>8</v>
      </c>
      <c r="F1000">
        <v>41.45</v>
      </c>
      <c r="G1000">
        <v>331.6</v>
      </c>
      <c r="H1000">
        <v>99.48</v>
      </c>
      <c r="I1000" s="1" t="s">
        <v>11</v>
      </c>
      <c r="J1000">
        <v>14</v>
      </c>
      <c r="K1000" s="1" t="s">
        <v>1493</v>
      </c>
      <c r="L1000">
        <v>2025</v>
      </c>
    </row>
    <row r="1001" spans="1:12" x14ac:dyDescent="0.3">
      <c r="A1001" s="1" t="s">
        <v>1481</v>
      </c>
      <c r="B1001" s="4">
        <v>45338</v>
      </c>
      <c r="C1001" s="1" t="s">
        <v>234</v>
      </c>
      <c r="D1001" s="1" t="s">
        <v>54</v>
      </c>
      <c r="E1001">
        <v>4</v>
      </c>
      <c r="F1001">
        <v>28.55</v>
      </c>
      <c r="G1001">
        <v>114.2</v>
      </c>
      <c r="H1001">
        <v>34.26</v>
      </c>
      <c r="I1001" s="1" t="s">
        <v>36</v>
      </c>
      <c r="J1001">
        <v>16</v>
      </c>
      <c r="K1001" s="1" t="s">
        <v>1494</v>
      </c>
      <c r="L1001">
        <v>2024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E269-47B8-4ACE-8279-E017F78A68BE}">
  <dimension ref="B1"/>
  <sheetViews>
    <sheetView showGridLines="0" showRowColHeaders="0" workbookViewId="0"/>
  </sheetViews>
  <sheetFormatPr defaultRowHeight="14.4" x14ac:dyDescent="0.3"/>
  <sheetData>
    <row r="1" spans="2:2" ht="21" x14ac:dyDescent="0.4">
      <c r="B1"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CE481-28B3-46DB-827D-685D859BB05F}">
  <dimension ref="B3:V21"/>
  <sheetViews>
    <sheetView workbookViewId="0">
      <selection activeCell="I4" sqref="I4"/>
    </sheetView>
  </sheetViews>
  <sheetFormatPr defaultRowHeight="14.4" x14ac:dyDescent="0.3"/>
  <cols>
    <col min="2" max="2" width="12.44140625" bestFit="1" customWidth="1"/>
    <col min="3" max="3" width="14.88671875" bestFit="1" customWidth="1"/>
    <col min="5" max="5" width="12.44140625" bestFit="1" customWidth="1"/>
    <col min="6" max="6" width="11.5546875" bestFit="1" customWidth="1"/>
    <col min="8" max="8" width="12.44140625" bestFit="1" customWidth="1"/>
    <col min="9" max="9" width="14.88671875" bestFit="1" customWidth="1"/>
    <col min="11" max="11" width="12.44140625" bestFit="1" customWidth="1"/>
    <col min="12" max="12" width="11.5546875" bestFit="1" customWidth="1"/>
    <col min="14" max="14" width="12.44140625" bestFit="1" customWidth="1"/>
    <col min="15" max="15" width="14.88671875" bestFit="1" customWidth="1"/>
    <col min="16" max="16" width="9" bestFit="1" customWidth="1"/>
    <col min="17" max="17" width="12.44140625" bestFit="1" customWidth="1"/>
    <col min="18" max="18" width="15.5546875" bestFit="1" customWidth="1"/>
    <col min="19" max="21" width="10" bestFit="1" customWidth="1"/>
    <col min="22" max="22" width="11" bestFit="1" customWidth="1"/>
    <col min="23" max="30" width="6" bestFit="1" customWidth="1"/>
    <col min="31" max="31" width="5" bestFit="1" customWidth="1"/>
    <col min="32" max="44" width="6" bestFit="1" customWidth="1"/>
    <col min="45" max="45" width="5" bestFit="1" customWidth="1"/>
    <col min="46" max="60" width="6" bestFit="1" customWidth="1"/>
    <col min="61" max="61" width="5" bestFit="1" customWidth="1"/>
    <col min="62" max="63" width="6" bestFit="1" customWidth="1"/>
    <col min="64" max="64" width="5" bestFit="1" customWidth="1"/>
    <col min="65" max="65" width="6" bestFit="1" customWidth="1"/>
    <col min="66" max="66" width="5" bestFit="1" customWidth="1"/>
    <col min="67" max="70" width="6" bestFit="1" customWidth="1"/>
    <col min="71" max="71" width="5" bestFit="1" customWidth="1"/>
    <col min="72" max="74" width="6" bestFit="1" customWidth="1"/>
    <col min="75" max="75" width="5" bestFit="1" customWidth="1"/>
    <col min="76" max="76" width="6" bestFit="1" customWidth="1"/>
    <col min="77" max="80" width="7" bestFit="1" customWidth="1"/>
    <col min="81" max="81" width="6" bestFit="1" customWidth="1"/>
    <col min="82" max="89" width="7" bestFit="1" customWidth="1"/>
    <col min="90" max="90" width="6" bestFit="1" customWidth="1"/>
    <col min="91" max="91" width="7" bestFit="1" customWidth="1"/>
    <col min="92" max="93" width="6" bestFit="1" customWidth="1"/>
    <col min="94" max="103" width="7" bestFit="1" customWidth="1"/>
    <col min="104" max="104" width="6" bestFit="1" customWidth="1"/>
    <col min="105" max="118" width="7" bestFit="1" customWidth="1"/>
    <col min="119" max="119" width="6" bestFit="1" customWidth="1"/>
    <col min="120" max="120" width="7" bestFit="1" customWidth="1"/>
    <col min="121" max="121" width="6" bestFit="1" customWidth="1"/>
    <col min="122" max="130" width="7" bestFit="1" customWidth="1"/>
    <col min="131" max="132" width="6" bestFit="1" customWidth="1"/>
    <col min="133" max="135" width="7" bestFit="1" customWidth="1"/>
    <col min="136" max="136" width="6" bestFit="1" customWidth="1"/>
    <col min="137" max="137" width="7" bestFit="1" customWidth="1"/>
    <col min="138" max="138" width="6" bestFit="1" customWidth="1"/>
    <col min="139" max="142" width="7" bestFit="1" customWidth="1"/>
    <col min="143" max="143" width="6" bestFit="1" customWidth="1"/>
    <col min="144" max="150" width="7" bestFit="1" customWidth="1"/>
    <col min="151" max="151" width="6" bestFit="1" customWidth="1"/>
    <col min="152" max="152" width="7" bestFit="1" customWidth="1"/>
    <col min="153" max="153" width="6" bestFit="1" customWidth="1"/>
    <col min="154" max="159" width="7" bestFit="1" customWidth="1"/>
    <col min="160" max="160" width="6" bestFit="1" customWidth="1"/>
    <col min="161" max="161" width="7" bestFit="1" customWidth="1"/>
    <col min="162" max="162" width="6" bestFit="1" customWidth="1"/>
    <col min="163" max="178" width="7" bestFit="1" customWidth="1"/>
    <col min="179" max="180" width="6" bestFit="1" customWidth="1"/>
    <col min="181" max="184" width="7" bestFit="1" customWidth="1"/>
    <col min="185" max="185" width="6" bestFit="1" customWidth="1"/>
    <col min="186" max="187" width="7" bestFit="1" customWidth="1"/>
    <col min="188" max="188" width="6" bestFit="1" customWidth="1"/>
    <col min="189" max="189" width="7" bestFit="1" customWidth="1"/>
    <col min="190" max="191" width="6" bestFit="1" customWidth="1"/>
    <col min="192" max="198" width="7" bestFit="1" customWidth="1"/>
    <col min="199" max="199" width="6" bestFit="1" customWidth="1"/>
    <col min="200" max="204" width="7" bestFit="1" customWidth="1"/>
    <col min="205" max="205" width="6" bestFit="1" customWidth="1"/>
    <col min="206" max="207" width="7" bestFit="1" customWidth="1"/>
    <col min="208" max="209" width="6" bestFit="1" customWidth="1"/>
    <col min="210" max="210" width="7" bestFit="1" customWidth="1"/>
    <col min="211" max="211" width="6" bestFit="1" customWidth="1"/>
    <col min="212" max="212" width="7" bestFit="1" customWidth="1"/>
    <col min="213" max="213" width="6" bestFit="1" customWidth="1"/>
    <col min="214" max="215" width="7" bestFit="1" customWidth="1"/>
    <col min="216" max="218" width="6" bestFit="1" customWidth="1"/>
    <col min="219" max="222" width="7" bestFit="1" customWidth="1"/>
    <col min="223" max="223" width="6" bestFit="1" customWidth="1"/>
    <col min="224" max="225" width="7" bestFit="1" customWidth="1"/>
    <col min="226" max="226" width="6" bestFit="1" customWidth="1"/>
    <col min="227" max="229" width="7" bestFit="1" customWidth="1"/>
    <col min="230" max="231" width="6" bestFit="1" customWidth="1"/>
    <col min="232" max="235" width="7" bestFit="1" customWidth="1"/>
    <col min="236" max="236" width="6" bestFit="1" customWidth="1"/>
    <col min="237" max="238" width="7" bestFit="1" customWidth="1"/>
    <col min="239" max="239" width="6" bestFit="1" customWidth="1"/>
    <col min="240" max="244" width="7" bestFit="1" customWidth="1"/>
    <col min="245" max="246" width="6" bestFit="1" customWidth="1"/>
    <col min="247" max="252" width="7" bestFit="1" customWidth="1"/>
    <col min="253" max="253" width="6" bestFit="1" customWidth="1"/>
    <col min="254" max="254" width="7" bestFit="1" customWidth="1"/>
    <col min="255" max="255" width="6" bestFit="1" customWidth="1"/>
    <col min="256" max="258" width="7" bestFit="1" customWidth="1"/>
    <col min="259" max="260" width="6" bestFit="1" customWidth="1"/>
    <col min="261" max="262" width="7" bestFit="1" customWidth="1"/>
    <col min="263" max="264" width="6" bestFit="1" customWidth="1"/>
    <col min="265" max="271" width="7" bestFit="1" customWidth="1"/>
    <col min="272" max="272" width="6" bestFit="1" customWidth="1"/>
    <col min="273" max="273" width="7" bestFit="1" customWidth="1"/>
    <col min="274" max="274" width="6" bestFit="1" customWidth="1"/>
    <col min="275" max="277" width="7" bestFit="1" customWidth="1"/>
    <col min="278" max="279" width="6" bestFit="1" customWidth="1"/>
    <col min="280" max="284" width="7" bestFit="1" customWidth="1"/>
    <col min="285" max="285" width="6" bestFit="1" customWidth="1"/>
    <col min="286" max="288" width="7" bestFit="1" customWidth="1"/>
    <col min="289" max="289" width="6" bestFit="1" customWidth="1"/>
    <col min="290" max="290" width="7" bestFit="1" customWidth="1"/>
    <col min="291" max="291" width="6" bestFit="1" customWidth="1"/>
    <col min="292" max="297" width="7" bestFit="1" customWidth="1"/>
    <col min="298" max="300" width="6" bestFit="1" customWidth="1"/>
    <col min="301" max="303" width="7" bestFit="1" customWidth="1"/>
    <col min="304" max="304" width="6" bestFit="1" customWidth="1"/>
    <col min="305" max="305" width="7" bestFit="1" customWidth="1"/>
    <col min="306" max="306" width="6" bestFit="1" customWidth="1"/>
    <col min="307" max="310" width="7" bestFit="1" customWidth="1"/>
    <col min="311" max="311" width="6" bestFit="1" customWidth="1"/>
    <col min="312" max="313" width="7" bestFit="1" customWidth="1"/>
    <col min="314" max="314" width="6" bestFit="1" customWidth="1"/>
    <col min="315" max="315" width="7" bestFit="1" customWidth="1"/>
    <col min="316" max="316" width="6" bestFit="1" customWidth="1"/>
    <col min="317" max="317" width="7" bestFit="1" customWidth="1"/>
    <col min="318" max="318" width="6" bestFit="1" customWidth="1"/>
    <col min="319" max="324" width="7" bestFit="1" customWidth="1"/>
    <col min="325" max="325" width="6" bestFit="1" customWidth="1"/>
    <col min="326" max="329" width="7" bestFit="1" customWidth="1"/>
    <col min="330" max="330" width="6" bestFit="1" customWidth="1"/>
    <col min="331" max="334" width="7" bestFit="1" customWidth="1"/>
    <col min="335" max="335" width="6" bestFit="1" customWidth="1"/>
    <col min="336" max="337" width="7" bestFit="1" customWidth="1"/>
    <col min="338" max="338" width="6" bestFit="1" customWidth="1"/>
    <col min="339" max="340" width="7" bestFit="1" customWidth="1"/>
    <col min="341" max="341" width="6" bestFit="1" customWidth="1"/>
    <col min="342" max="346" width="7" bestFit="1" customWidth="1"/>
    <col min="347" max="347" width="6" bestFit="1" customWidth="1"/>
    <col min="348" max="348" width="7" bestFit="1" customWidth="1"/>
    <col min="349" max="349" width="6" bestFit="1" customWidth="1"/>
    <col min="350" max="352" width="7" bestFit="1" customWidth="1"/>
    <col min="353" max="353" width="6" bestFit="1" customWidth="1"/>
    <col min="354" max="357" width="7" bestFit="1" customWidth="1"/>
    <col min="358" max="358" width="6" bestFit="1" customWidth="1"/>
    <col min="359" max="359" width="7" bestFit="1" customWidth="1"/>
    <col min="360" max="360" width="6" bestFit="1" customWidth="1"/>
    <col min="361" max="364" width="7" bestFit="1" customWidth="1"/>
    <col min="365" max="368" width="6" bestFit="1" customWidth="1"/>
    <col min="369" max="371" width="7" bestFit="1" customWidth="1"/>
    <col min="372" max="372" width="6" bestFit="1" customWidth="1"/>
    <col min="373" max="374" width="7" bestFit="1" customWidth="1"/>
    <col min="375" max="376" width="6" bestFit="1" customWidth="1"/>
    <col min="377" max="379" width="7" bestFit="1" customWidth="1"/>
    <col min="380" max="381" width="6" bestFit="1" customWidth="1"/>
    <col min="382" max="384" width="7" bestFit="1" customWidth="1"/>
    <col min="385" max="385" width="6" bestFit="1" customWidth="1"/>
    <col min="386" max="391" width="7" bestFit="1" customWidth="1"/>
    <col min="392" max="392" width="8" bestFit="1" customWidth="1"/>
    <col min="393" max="395" width="7" bestFit="1" customWidth="1"/>
    <col min="396" max="398" width="8" bestFit="1" customWidth="1"/>
    <col min="399" max="400" width="7" bestFit="1" customWidth="1"/>
    <col min="401" max="401" width="8" bestFit="1" customWidth="1"/>
    <col min="402" max="402" width="7" bestFit="1" customWidth="1"/>
    <col min="403" max="404" width="8" bestFit="1" customWidth="1"/>
    <col min="405" max="405" width="7" bestFit="1" customWidth="1"/>
    <col min="406" max="406" width="8" bestFit="1" customWidth="1"/>
    <col min="407" max="407" width="6" bestFit="1" customWidth="1"/>
    <col min="408" max="408" width="7" bestFit="1" customWidth="1"/>
    <col min="409" max="409" width="8" bestFit="1" customWidth="1"/>
    <col min="410" max="410" width="7" bestFit="1" customWidth="1"/>
    <col min="411" max="418" width="8" bestFit="1" customWidth="1"/>
    <col min="419" max="421" width="7" bestFit="1" customWidth="1"/>
    <col min="422" max="425" width="8" bestFit="1" customWidth="1"/>
    <col min="426" max="426" width="7" bestFit="1" customWidth="1"/>
    <col min="427" max="428" width="8" bestFit="1" customWidth="1"/>
    <col min="429" max="429" width="7" bestFit="1" customWidth="1"/>
    <col min="430" max="430" width="8" bestFit="1" customWidth="1"/>
    <col min="431" max="431" width="7" bestFit="1" customWidth="1"/>
    <col min="432" max="432" width="8" bestFit="1" customWidth="1"/>
    <col min="433" max="433" width="7" bestFit="1" customWidth="1"/>
    <col min="434" max="434" width="8" bestFit="1" customWidth="1"/>
    <col min="435" max="435" width="7" bestFit="1" customWidth="1"/>
    <col min="436" max="436" width="8" bestFit="1" customWidth="1"/>
    <col min="437" max="437" width="5" bestFit="1" customWidth="1"/>
    <col min="438" max="440" width="8" bestFit="1" customWidth="1"/>
    <col min="441" max="446" width="7" bestFit="1" customWidth="1"/>
    <col min="447" max="447" width="10.5546875" bestFit="1" customWidth="1"/>
  </cols>
  <sheetData>
    <row r="3" spans="2:22" x14ac:dyDescent="0.3">
      <c r="F3" t="str">
        <f>C9</f>
        <v>Sum of TotalSale</v>
      </c>
      <c r="G3">
        <f>GETPIVOTDATA("TotalSale",$B$9)</f>
        <v>481472.04</v>
      </c>
      <c r="H3" t="str">
        <f>F9</f>
        <v>Sum of Profit</v>
      </c>
      <c r="I3">
        <f>GETPIVOTDATA("Profit",$E$9)</f>
        <v>144441.61200000002</v>
      </c>
    </row>
    <row r="9" spans="2:22" x14ac:dyDescent="0.3">
      <c r="B9" s="2" t="s">
        <v>1484</v>
      </c>
      <c r="C9" t="s">
        <v>1483</v>
      </c>
      <c r="E9" s="2" t="s">
        <v>1484</v>
      </c>
      <c r="F9" t="s">
        <v>1485</v>
      </c>
      <c r="H9" s="2" t="s">
        <v>1484</v>
      </c>
      <c r="I9" t="s">
        <v>1483</v>
      </c>
      <c r="K9" s="2" t="s">
        <v>1484</v>
      </c>
      <c r="L9" t="s">
        <v>1485</v>
      </c>
      <c r="N9" s="2" t="s">
        <v>1484</v>
      </c>
      <c r="O9" t="s">
        <v>1483</v>
      </c>
      <c r="Q9" s="2" t="s">
        <v>1485</v>
      </c>
      <c r="R9" s="2" t="s">
        <v>1502</v>
      </c>
    </row>
    <row r="10" spans="2:22" x14ac:dyDescent="0.3">
      <c r="B10" s="3" t="s">
        <v>11</v>
      </c>
      <c r="C10" s="1">
        <v>121555.52</v>
      </c>
      <c r="E10" s="3" t="s">
        <v>11</v>
      </c>
      <c r="F10" s="1">
        <v>36466.655999999988</v>
      </c>
      <c r="H10" s="3" t="s">
        <v>1493</v>
      </c>
      <c r="I10" s="1">
        <v>49652.479999999996</v>
      </c>
      <c r="K10" s="3" t="s">
        <v>1493</v>
      </c>
      <c r="L10" s="1">
        <v>14895.743999999999</v>
      </c>
      <c r="N10" s="3">
        <v>2024</v>
      </c>
      <c r="O10" s="1">
        <v>231612.84000000026</v>
      </c>
      <c r="Q10" s="2" t="s">
        <v>1484</v>
      </c>
      <c r="R10" t="s">
        <v>11</v>
      </c>
      <c r="S10" t="s">
        <v>19</v>
      </c>
      <c r="T10" t="s">
        <v>36</v>
      </c>
      <c r="U10" t="s">
        <v>15</v>
      </c>
      <c r="V10" t="s">
        <v>1489</v>
      </c>
    </row>
    <row r="11" spans="2:22" x14ac:dyDescent="0.3">
      <c r="B11" s="3" t="s">
        <v>19</v>
      </c>
      <c r="C11" s="1">
        <v>106076.20000000001</v>
      </c>
      <c r="E11" s="3" t="s">
        <v>19</v>
      </c>
      <c r="F11" s="1">
        <v>31822.860000000015</v>
      </c>
      <c r="H11" s="3" t="s">
        <v>1494</v>
      </c>
      <c r="I11" s="1">
        <v>35177.65</v>
      </c>
      <c r="K11" s="3" t="s">
        <v>1494</v>
      </c>
      <c r="L11" s="1">
        <v>10553.295000000002</v>
      </c>
      <c r="N11" s="3">
        <v>2025</v>
      </c>
      <c r="O11" s="1">
        <v>249859.20000000039</v>
      </c>
      <c r="Q11" s="3">
        <v>2024</v>
      </c>
      <c r="R11" s="1">
        <v>16114.608000000002</v>
      </c>
      <c r="S11" s="1">
        <v>16724.418000000005</v>
      </c>
      <c r="T11" s="1">
        <v>18261.291000000001</v>
      </c>
      <c r="U11" s="1">
        <v>18383.534999999996</v>
      </c>
      <c r="V11" s="1">
        <v>69483.852000000014</v>
      </c>
    </row>
    <row r="12" spans="2:22" x14ac:dyDescent="0.3">
      <c r="B12" s="3" t="s">
        <v>36</v>
      </c>
      <c r="C12" s="1">
        <v>123664.09000000001</v>
      </c>
      <c r="E12" s="3" t="s">
        <v>36</v>
      </c>
      <c r="F12" s="1">
        <v>37099.227000000043</v>
      </c>
      <c r="H12" s="3" t="s">
        <v>1491</v>
      </c>
      <c r="I12" s="1">
        <v>41182.280000000021</v>
      </c>
      <c r="K12" s="3" t="s">
        <v>1491</v>
      </c>
      <c r="L12" s="1">
        <v>12354.683999999992</v>
      </c>
      <c r="N12" s="3" t="s">
        <v>1489</v>
      </c>
      <c r="O12" s="1">
        <v>481472.04000000062</v>
      </c>
      <c r="Q12" s="3">
        <v>2025</v>
      </c>
      <c r="R12" s="1">
        <v>20352.047999999999</v>
      </c>
      <c r="S12" s="1">
        <v>15098.442000000005</v>
      </c>
      <c r="T12" s="1">
        <v>18837.936000000002</v>
      </c>
      <c r="U12" s="1">
        <v>20669.333999999999</v>
      </c>
      <c r="V12" s="1">
        <v>74957.760000000009</v>
      </c>
    </row>
    <row r="13" spans="2:22" x14ac:dyDescent="0.3">
      <c r="B13" s="3" t="s">
        <v>15</v>
      </c>
      <c r="C13" s="1">
        <v>130176.22999999992</v>
      </c>
      <c r="E13" s="3" t="s">
        <v>15</v>
      </c>
      <c r="F13" s="1">
        <v>39052.868999999992</v>
      </c>
      <c r="H13" s="3" t="s">
        <v>1496</v>
      </c>
      <c r="I13" s="1">
        <v>44208.340000000004</v>
      </c>
      <c r="K13" s="3" t="s">
        <v>1496</v>
      </c>
      <c r="L13" s="1">
        <v>13262.501999999997</v>
      </c>
      <c r="Q13" s="3" t="s">
        <v>1489</v>
      </c>
      <c r="R13" s="1">
        <v>36466.656000000003</v>
      </c>
      <c r="S13" s="1">
        <v>31822.860000000008</v>
      </c>
      <c r="T13" s="1">
        <v>37099.226999999999</v>
      </c>
      <c r="U13" s="1">
        <v>39052.868999999992</v>
      </c>
      <c r="V13" s="1">
        <v>144441.61200000002</v>
      </c>
    </row>
    <row r="14" spans="2:22" x14ac:dyDescent="0.3">
      <c r="B14" s="3" t="s">
        <v>1489</v>
      </c>
      <c r="C14" s="1">
        <v>481472.04</v>
      </c>
      <c r="E14" s="3" t="s">
        <v>1489</v>
      </c>
      <c r="F14" s="1">
        <v>144441.61200000002</v>
      </c>
      <c r="H14" s="3" t="s">
        <v>1492</v>
      </c>
      <c r="I14" s="1">
        <v>33515.86</v>
      </c>
      <c r="K14" s="3" t="s">
        <v>1492</v>
      </c>
      <c r="L14" s="1">
        <v>10054.758000000003</v>
      </c>
    </row>
    <row r="15" spans="2:22" x14ac:dyDescent="0.3">
      <c r="H15" s="3" t="s">
        <v>1497</v>
      </c>
      <c r="I15" s="1">
        <v>40579.550000000003</v>
      </c>
      <c r="K15" s="3" t="s">
        <v>1497</v>
      </c>
      <c r="L15" s="1">
        <v>12173.864999999998</v>
      </c>
    </row>
    <row r="16" spans="2:22" x14ac:dyDescent="0.3">
      <c r="H16" s="3" t="s">
        <v>1498</v>
      </c>
      <c r="I16" s="1">
        <v>33858.37999999999</v>
      </c>
      <c r="K16" s="3" t="s">
        <v>1498</v>
      </c>
      <c r="L16" s="1">
        <v>10157.513999999997</v>
      </c>
    </row>
    <row r="17" spans="8:19" x14ac:dyDescent="0.3">
      <c r="H17" s="3" t="s">
        <v>1499</v>
      </c>
      <c r="I17" s="1">
        <v>36601.919999999991</v>
      </c>
      <c r="K17" s="3" t="s">
        <v>1499</v>
      </c>
      <c r="L17" s="1">
        <v>10980.576000000001</v>
      </c>
      <c r="N17" s="2" t="s">
        <v>1483</v>
      </c>
      <c r="O17" s="2" t="s">
        <v>1502</v>
      </c>
    </row>
    <row r="18" spans="8:19" x14ac:dyDescent="0.3">
      <c r="H18" s="3" t="s">
        <v>1501</v>
      </c>
      <c r="I18" s="1">
        <v>44424.94</v>
      </c>
      <c r="K18" s="3" t="s">
        <v>1501</v>
      </c>
      <c r="L18" s="1">
        <v>13327.482</v>
      </c>
      <c r="N18" s="2" t="s">
        <v>1484</v>
      </c>
      <c r="O18" t="s">
        <v>11</v>
      </c>
      <c r="P18" t="s">
        <v>19</v>
      </c>
      <c r="Q18" t="s">
        <v>36</v>
      </c>
      <c r="R18" t="s">
        <v>15</v>
      </c>
      <c r="S18" t="s">
        <v>1489</v>
      </c>
    </row>
    <row r="19" spans="8:19" x14ac:dyDescent="0.3">
      <c r="H19" s="3" t="s">
        <v>1490</v>
      </c>
      <c r="I19" s="1">
        <v>42098.94999999999</v>
      </c>
      <c r="K19" s="3" t="s">
        <v>1490</v>
      </c>
      <c r="L19" s="1">
        <v>12629.685000000001</v>
      </c>
      <c r="N19" s="3">
        <v>2024</v>
      </c>
      <c r="O19" s="1">
        <v>53715.360000000001</v>
      </c>
      <c r="P19" s="1">
        <v>55748.060000000005</v>
      </c>
      <c r="Q19" s="1">
        <v>60870.97</v>
      </c>
      <c r="R19" s="1">
        <v>61278.449999999983</v>
      </c>
      <c r="S19" s="1">
        <v>231612.84</v>
      </c>
    </row>
    <row r="20" spans="8:19" x14ac:dyDescent="0.3">
      <c r="H20" s="3" t="s">
        <v>1500</v>
      </c>
      <c r="I20" s="1">
        <v>39657.289999999986</v>
      </c>
      <c r="K20" s="3" t="s">
        <v>1500</v>
      </c>
      <c r="L20" s="1">
        <v>11897.186999999998</v>
      </c>
      <c r="N20" s="3">
        <v>2025</v>
      </c>
      <c r="O20" s="1">
        <v>67840.160000000033</v>
      </c>
      <c r="P20" s="1">
        <v>50328.139999999985</v>
      </c>
      <c r="Q20" s="1">
        <v>62793.120000000017</v>
      </c>
      <c r="R20" s="1">
        <v>68897.78</v>
      </c>
      <c r="S20" s="1">
        <v>249859.20000000004</v>
      </c>
    </row>
    <row r="21" spans="8:19" x14ac:dyDescent="0.3">
      <c r="H21" s="3" t="s">
        <v>1495</v>
      </c>
      <c r="I21" s="1">
        <v>40514.399999999994</v>
      </c>
      <c r="K21" s="3" t="s">
        <v>1495</v>
      </c>
      <c r="L21" s="1">
        <v>12154.320000000002</v>
      </c>
      <c r="N21" s="3" t="s">
        <v>1489</v>
      </c>
      <c r="O21" s="1">
        <v>121555.52000000003</v>
      </c>
      <c r="P21" s="1">
        <v>106076.19999999998</v>
      </c>
      <c r="Q21" s="1">
        <v>123664.09000000003</v>
      </c>
      <c r="R21" s="1">
        <v>130176.22999999998</v>
      </c>
      <c r="S21" s="1">
        <v>481472.04000000004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31EF88-85D0-4D43-A876-5A996AEA58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Dashbord</vt:lpstr>
      <vt:lpstr>Dataset</vt:lpstr>
      <vt:lpstr>Report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dc:creator>
  <cp:lastModifiedBy>GOD</cp:lastModifiedBy>
  <dcterms:created xsi:type="dcterms:W3CDTF">2026-06-09T20:15:12Z</dcterms:created>
  <dcterms:modified xsi:type="dcterms:W3CDTF">2026-07-18T02:54:04Z</dcterms:modified>
</cp:coreProperties>
</file>